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DieseArbeitsmappe"/>
  <xr:revisionPtr revIDLastSave="0" documentId="13_ncr:1_{301C69A1-9592-4D57-967A-FACDA3C613C6}" xr6:coauthVersionLast="47" xr6:coauthVersionMax="47" xr10:uidLastSave="{00000000-0000-0000-0000-000000000000}"/>
  <workbookProtection workbookAlgorithmName="SHA-512" workbookHashValue="inAe1nddnmpH3oXuRCCl+ZOdtuQxheLhus9l0e2HeG9RYXY/5ZhFEdQl5mCKJ1kvZ+AozAl/XN3hjRiPtBn2Nw==" workbookSaltValue="jqDxgiyYydx17yh1E9APcQ==" workbookSpinCount="100000" lockStructure="1"/>
  <bookViews>
    <workbookView xWindow="30" yWindow="435" windowWidth="51570" windowHeight="20445" tabRatio="500" activeTab="4" xr2:uid="{00000000-000D-0000-FFFF-FFFF00000000}"/>
  </bookViews>
  <sheets>
    <sheet name="Steuerung" sheetId="5" r:id="rId1"/>
    <sheet name="Wochenplan" sheetId="2" r:id="rId2"/>
    <sheet name="Lernbereiche" sheetId="3" r:id="rId3"/>
    <sheet name="Einstellungen" sheetId="4" r:id="rId4"/>
    <sheet name="Anleitung" sheetId="6" r:id="rId5"/>
  </sheets>
  <definedNames>
    <definedName name="_xlnm.Print_Area" localSheetId="2">Lernbereiche!$A$3:$J$12</definedName>
    <definedName name="_xlnm.Print_Area" localSheetId="1">Wochenplan!$B$3:$M$40</definedName>
    <definedName name="_xlnm.Print_Titles" localSheetId="2">Lernbereiche!$3:$3</definedName>
    <definedName name="_xlnm.Print_Titles" localSheetId="1">Wochenplan!$3:$3</definedName>
    <definedName name="wpAnleitungStand" hidden="1">"2026-09-05a"</definedName>
    <definedName name="wpHalbeKlasse">Einstellungen!$F$15:$F$52</definedName>
    <definedName name="wpHalbeWoche">Einstellungen!$E$15:$E$52</definedName>
    <definedName name="wpPdfFormat">Steuerung!$B$16</definedName>
    <definedName name="wpStundenListe">Einstellungen!$M$2:$M$6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S34" i="2" l="1"/>
  <c r="S35" i="2"/>
  <c r="S36" i="2"/>
  <c r="S37" i="2"/>
  <c r="S38" i="2"/>
  <c r="S39" i="2"/>
  <c r="S40" i="2"/>
  <c r="S33" i="2"/>
  <c r="R33" i="2"/>
  <c r="R34" i="2"/>
  <c r="R35" i="2"/>
  <c r="R36" i="2"/>
  <c r="R37" i="2"/>
  <c r="R38" i="2"/>
  <c r="R39" i="2"/>
  <c r="R40" i="2"/>
  <c r="U33" i="2" a="1"/>
  <c r="Q33" i="2" s="1"/>
  <c r="U34" i="2" a="1"/>
  <c r="Q34" i="2" s="1"/>
  <c r="U35" i="2" a="1"/>
  <c r="Q35" i="2" s="1"/>
  <c r="U36" i="2" a="1"/>
  <c r="Q36" i="2" s="1"/>
  <c r="U37" i="2" a="1"/>
  <c r="Q37" i="2" s="1"/>
  <c r="U38" i="2" a="1"/>
  <c r="Q38" i="2" s="1"/>
  <c r="U39" i="2" a="1"/>
  <c r="Q39" i="2" s="1"/>
  <c r="U40" i="2" a="1"/>
  <c r="Q40" i="2" s="1"/>
  <c r="V33" i="2"/>
  <c r="V34" i="2"/>
  <c r="V35" i="2"/>
  <c r="V36" i="2"/>
  <c r="V37" i="2"/>
  <c r="V38" i="2"/>
  <c r="V39" i="2"/>
  <c r="V40" i="2"/>
  <c r="B33" i="2"/>
  <c r="B34" i="2"/>
  <c r="B35" i="2"/>
  <c r="B36" i="2"/>
  <c r="B37" i="2"/>
  <c r="B38" i="2"/>
  <c r="B39" i="2"/>
  <c r="B40" i="2"/>
  <c r="S27" i="2"/>
  <c r="S28" i="2"/>
  <c r="S29" i="2"/>
  <c r="S30" i="2"/>
  <c r="S31" i="2"/>
  <c r="S26" i="2"/>
  <c r="R26" i="2"/>
  <c r="R27" i="2"/>
  <c r="R28" i="2"/>
  <c r="R29" i="2"/>
  <c r="R30" i="2"/>
  <c r="R31" i="2"/>
  <c r="P26" i="2"/>
  <c r="U26" i="2" a="1"/>
  <c r="Q26" i="2" s="1"/>
  <c r="A26" i="2" s="1"/>
  <c r="U27" i="2" a="1"/>
  <c r="Q27" i="2" s="1"/>
  <c r="U28" i="2" a="1"/>
  <c r="Q28" i="2" s="1"/>
  <c r="U29" i="2" a="1"/>
  <c r="Q29" i="2" s="1"/>
  <c r="U30" i="2" a="1"/>
  <c r="Q30" i="2" s="1"/>
  <c r="U31" i="2" a="1"/>
  <c r="Q31" i="2" s="1"/>
  <c r="L26" i="2"/>
  <c r="L27" i="2"/>
  <c r="L28" i="2"/>
  <c r="L29" i="2"/>
  <c r="L30" i="2"/>
  <c r="L31" i="2"/>
  <c r="D26" i="2"/>
  <c r="D27" i="2"/>
  <c r="D28" i="2"/>
  <c r="D29" i="2"/>
  <c r="D30" i="2"/>
  <c r="D31" i="2"/>
  <c r="C26" i="2"/>
  <c r="C27" i="2"/>
  <c r="C28" i="2"/>
  <c r="C29" i="2"/>
  <c r="V26" i="2"/>
  <c r="V27" i="2"/>
  <c r="P27" i="2" s="1"/>
  <c r="A27" i="2" s="1"/>
  <c r="V28" i="2"/>
  <c r="P28" i="2" s="1"/>
  <c r="V29" i="2"/>
  <c r="P29" i="2" s="1"/>
  <c r="A29" i="2" s="1"/>
  <c r="V30" i="2"/>
  <c r="V31" i="2"/>
  <c r="B26" i="2"/>
  <c r="B27" i="2"/>
  <c r="B28" i="2"/>
  <c r="B29" i="2"/>
  <c r="B30" i="2"/>
  <c r="B31" i="2"/>
  <c r="S22" i="2"/>
  <c r="S23" i="2"/>
  <c r="S24" i="2"/>
  <c r="S21" i="2"/>
  <c r="R21" i="2"/>
  <c r="R22" i="2"/>
  <c r="R23" i="2"/>
  <c r="R24" i="2"/>
  <c r="U21" i="2" a="1"/>
  <c r="Q21" i="2" s="1"/>
  <c r="U22" i="2" a="1"/>
  <c r="Q22" i="2" s="1"/>
  <c r="U23" i="2" a="1"/>
  <c r="Q23" i="2" s="1"/>
  <c r="U24" i="2" a="1"/>
  <c r="Q24" i="2" s="1"/>
  <c r="V21" i="2"/>
  <c r="V22" i="2"/>
  <c r="V23" i="2"/>
  <c r="V24" i="2"/>
  <c r="B21" i="2"/>
  <c r="B22" i="2"/>
  <c r="B23" i="2"/>
  <c r="B24" i="2"/>
  <c r="S18" i="2"/>
  <c r="S19" i="2"/>
  <c r="S17" i="2"/>
  <c r="R17" i="2"/>
  <c r="R18" i="2"/>
  <c r="R19" i="2"/>
  <c r="P17" i="2"/>
  <c r="P18" i="2"/>
  <c r="P19" i="2"/>
  <c r="U17" i="2" a="1"/>
  <c r="Q17" i="2" s="1"/>
  <c r="A17" i="2" s="1"/>
  <c r="U18" i="2" a="1"/>
  <c r="Q18" i="2" s="1"/>
  <c r="A18" i="2" s="1"/>
  <c r="U19" i="2" a="1"/>
  <c r="Q19" i="2" s="1"/>
  <c r="A19" i="2" s="1"/>
  <c r="L17" i="2"/>
  <c r="L18" i="2"/>
  <c r="V17" i="2"/>
  <c r="V18" i="2"/>
  <c r="V19" i="2"/>
  <c r="B17" i="2"/>
  <c r="B18" i="2"/>
  <c r="B19" i="2"/>
  <c r="S15" i="2"/>
  <c r="S14" i="2"/>
  <c r="R14" i="2"/>
  <c r="R15" i="2"/>
  <c r="P14" i="2"/>
  <c r="A14" i="2" s="1"/>
  <c r="P15" i="2"/>
  <c r="U14" i="2" a="1"/>
  <c r="Q14" i="2" s="1"/>
  <c r="U15" i="2" a="1"/>
  <c r="Q15" i="2" s="1"/>
  <c r="L14" i="2"/>
  <c r="V14" i="2"/>
  <c r="V15" i="2"/>
  <c r="B14" i="2"/>
  <c r="B15" i="2"/>
  <c r="S10" i="2"/>
  <c r="S11" i="2"/>
  <c r="S12" i="2"/>
  <c r="S9" i="2"/>
  <c r="R9" i="2"/>
  <c r="R10" i="2"/>
  <c r="R11" i="2"/>
  <c r="R12" i="2"/>
  <c r="Q9" i="2"/>
  <c r="Q10" i="2"/>
  <c r="Q11" i="2"/>
  <c r="Q12" i="2"/>
  <c r="P9" i="2"/>
  <c r="A9" i="2" s="1"/>
  <c r="P10" i="2"/>
  <c r="A10" i="2" s="1"/>
  <c r="P11" i="2"/>
  <c r="A11" i="2" s="1"/>
  <c r="P12" i="2"/>
  <c r="A12" i="2" s="1"/>
  <c r="U9" i="2" a="1"/>
  <c r="U10" i="2" a="1"/>
  <c r="U11" i="2" a="1"/>
  <c r="U12" i="2" a="1"/>
  <c r="V9" i="2"/>
  <c r="V10" i="2"/>
  <c r="V11" i="2"/>
  <c r="V12" i="2"/>
  <c r="B9" i="2"/>
  <c r="B10" i="2"/>
  <c r="B11" i="2"/>
  <c r="B12" i="2"/>
  <c r="S5" i="2"/>
  <c r="S6" i="2"/>
  <c r="S7" i="2"/>
  <c r="R4" i="2"/>
  <c r="R5" i="2"/>
  <c r="R6" i="2"/>
  <c r="R7" i="2"/>
  <c r="U4" i="2" a="1"/>
  <c r="Q4" i="2" s="1"/>
  <c r="U5" i="2" a="1"/>
  <c r="Q5" i="2" s="1"/>
  <c r="U6" i="2" a="1"/>
  <c r="Q6" i="2" s="1"/>
  <c r="U7" i="2" a="1"/>
  <c r="Q7" i="2" s="1"/>
  <c r="L4" i="2"/>
  <c r="L5" i="2"/>
  <c r="L6" i="2"/>
  <c r="L7" i="2"/>
  <c r="D4" i="2"/>
  <c r="D5" i="2"/>
  <c r="D6" i="2"/>
  <c r="V4" i="2"/>
  <c r="V5" i="2"/>
  <c r="V6" i="2"/>
  <c r="V7" i="2"/>
  <c r="B4" i="2"/>
  <c r="B5" i="2"/>
  <c r="B6" i="2"/>
  <c r="B7" i="2"/>
  <c r="E9" i="3"/>
  <c r="H8" i="3"/>
  <c r="F8" i="3"/>
  <c r="H7" i="3"/>
  <c r="F7" i="3"/>
  <c r="H6" i="3"/>
  <c r="F6" i="3"/>
  <c r="H5" i="3"/>
  <c r="F5" i="3"/>
  <c r="H4" i="3"/>
  <c r="F4" i="3"/>
  <c r="F9" i="3" s="1"/>
  <c r="B4" i="5"/>
  <c r="G15" i="4"/>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G40" i="4" s="1"/>
  <c r="G41" i="4" s="1"/>
  <c r="G42" i="4" s="1"/>
  <c r="G43" i="4" s="1"/>
  <c r="G44" i="4" s="1"/>
  <c r="G45" i="4" s="1"/>
  <c r="G46" i="4" s="1"/>
  <c r="G47" i="4" s="1"/>
  <c r="G48" i="4" s="1"/>
  <c r="G49" i="4" s="1"/>
  <c r="G50" i="4" s="1"/>
  <c r="G51" i="4" s="1"/>
  <c r="G52" i="4" s="1"/>
  <c r="B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P33" i="2" l="1"/>
  <c r="A33" i="2" s="1"/>
  <c r="C33" i="2"/>
  <c r="L33" i="2"/>
  <c r="D33" i="2"/>
  <c r="C34" i="2"/>
  <c r="D34" i="2"/>
  <c r="L34" i="2"/>
  <c r="P34" i="2"/>
  <c r="A34" i="2" s="1"/>
  <c r="L35" i="2"/>
  <c r="D35" i="2"/>
  <c r="C35" i="2"/>
  <c r="P35" i="2"/>
  <c r="A35" i="2" s="1"/>
  <c r="C36" i="2"/>
  <c r="D36" i="2"/>
  <c r="L36" i="2"/>
  <c r="P36" i="2"/>
  <c r="A36" i="2" s="1"/>
  <c r="P37" i="2"/>
  <c r="A37" i="2" s="1"/>
  <c r="D37" i="2"/>
  <c r="L37" i="2"/>
  <c r="C37" i="2"/>
  <c r="D38" i="2"/>
  <c r="C38" i="2"/>
  <c r="P38" i="2"/>
  <c r="A38" i="2" s="1"/>
  <c r="L38" i="2"/>
  <c r="D39" i="2"/>
  <c r="C39" i="2"/>
  <c r="L39" i="2"/>
  <c r="P39" i="2"/>
  <c r="A39" i="2" s="1"/>
  <c r="D40" i="2"/>
  <c r="L40" i="2"/>
  <c r="C40" i="2"/>
  <c r="P40" i="2"/>
  <c r="A40" i="2" s="1"/>
  <c r="P30" i="2"/>
  <c r="A30" i="2" s="1"/>
  <c r="C30" i="2"/>
  <c r="P31" i="2"/>
  <c r="A31" i="2" s="1"/>
  <c r="C31" i="2"/>
  <c r="P21" i="2"/>
  <c r="A21" i="2" s="1"/>
  <c r="C21" i="2"/>
  <c r="L21" i="2"/>
  <c r="D21" i="2"/>
  <c r="P22" i="2"/>
  <c r="A22" i="2" s="1"/>
  <c r="L22" i="2"/>
  <c r="C22" i="2"/>
  <c r="D22" i="2"/>
  <c r="P23" i="2"/>
  <c r="A23" i="2" s="1"/>
  <c r="L23" i="2"/>
  <c r="D23" i="2"/>
  <c r="C23" i="2"/>
  <c r="P24" i="2"/>
  <c r="A24" i="2" s="1"/>
  <c r="L24" i="2"/>
  <c r="C24" i="2"/>
  <c r="D24" i="2"/>
  <c r="D17" i="2"/>
  <c r="C17" i="2"/>
  <c r="D18" i="2"/>
  <c r="C18" i="2"/>
  <c r="L19" i="2"/>
  <c r="C19" i="2"/>
  <c r="D19" i="2"/>
  <c r="D14" i="2"/>
  <c r="C14" i="2"/>
  <c r="D15" i="2"/>
  <c r="L15" i="2"/>
  <c r="C15" i="2"/>
  <c r="C9" i="2"/>
  <c r="L9" i="2"/>
  <c r="D9" i="2"/>
  <c r="C10" i="2"/>
  <c r="D10" i="2"/>
  <c r="L10" i="2"/>
  <c r="D11" i="2"/>
  <c r="C11" i="2"/>
  <c r="L11" i="2"/>
  <c r="C12" i="2"/>
  <c r="D12" i="2"/>
  <c r="L12" i="2"/>
  <c r="P4" i="2"/>
  <c r="C4" i="2"/>
  <c r="P5" i="2"/>
  <c r="A5" i="2" s="1"/>
  <c r="C5" i="2"/>
  <c r="C6" i="2"/>
  <c r="P6" i="2"/>
  <c r="A6" i="2" s="1"/>
  <c r="C7" i="2"/>
  <c r="D7" i="2"/>
  <c r="P7" i="2"/>
  <c r="A7" i="2" s="1"/>
  <c r="A15" i="2"/>
  <c r="A28" i="2"/>
  <c r="I8" i="3"/>
  <c r="G8" i="3"/>
  <c r="I7" i="3"/>
  <c r="G7" i="3"/>
  <c r="G6" i="3"/>
  <c r="I6" i="3"/>
  <c r="I5" i="3"/>
  <c r="G5" i="3"/>
  <c r="H9" i="3"/>
  <c r="I4" i="3"/>
  <c r="G4" i="3"/>
  <c r="O3" i="2" l="1"/>
  <c r="A4" i="2"/>
  <c r="G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<sst xmlns="http://schemas.openxmlformats.org/spreadsheetml/2006/main" count="341" uniqueCount="186">
  <si>
    <t>KW</t>
  </si>
  <si>
    <t>Referenzcode</t>
  </si>
  <si>
    <t>Thema</t>
  </si>
  <si>
    <t>Kompetenzen (Kurzfassung, siehe Lernbereiche-Blatt für Details)</t>
  </si>
  <si>
    <t>Material / Aufgaben</t>
  </si>
  <si>
    <t>Erledigt</t>
  </si>
  <si>
    <t>Notizen</t>
  </si>
  <si>
    <t>UW</t>
  </si>
  <si>
    <t>Stofferarbeitung</t>
  </si>
  <si>
    <t>von
(Unterrichtswoche)</t>
  </si>
  <si>
    <t>bis
(Unterrichtswoche)</t>
  </si>
  <si>
    <t>Lernbereich</t>
  </si>
  <si>
    <t>Std. lt. Lehrplan</t>
  </si>
  <si>
    <t>Wochen (lt. Lehrplan)</t>
  </si>
  <si>
    <t>Geplante Stunden</t>
  </si>
  <si>
    <t>Geplante Wochen</t>
  </si>
  <si>
    <t>noch verfügbare Wochen bis Jahresende</t>
  </si>
  <si>
    <t>Kompetenzerwartungen (Kurzfassung, eigene Formulierung nach LehrplanPLUS)</t>
  </si>
  <si>
    <t>Summe</t>
  </si>
  <si>
    <t>Stunden pro Woche</t>
  </si>
  <si>
    <t>verfügbare Wochen insgesamt</t>
  </si>
  <si>
    <t>Wochen im Schuljahr minus Ferienwochen</t>
  </si>
  <si>
    <t>verfügbare Klassen-Wochen</t>
  </si>
  <si>
    <t>Verfügbare Wochen bereinigt um bereits bekannte Termine und Ausfallzeiten</t>
  </si>
  <si>
    <t>Vorbereitung SA</t>
  </si>
  <si>
    <t>Schulwoche</t>
  </si>
  <si>
    <t>halbe Woche</t>
  </si>
  <si>
    <t>verfügbare Wochen</t>
  </si>
  <si>
    <t>noch verfügbare Wochen</t>
  </si>
  <si>
    <t>Puffer</t>
  </si>
  <si>
    <t>Referenz Code</t>
  </si>
  <si>
    <t>Stunde</t>
  </si>
  <si>
    <t>Auswahlbereich für Stunde</t>
  </si>
  <si>
    <t>Datum von</t>
  </si>
  <si>
    <t>Datum bis</t>
  </si>
  <si>
    <t>Datum</t>
  </si>
  <si>
    <t>Falscher Referenzcode</t>
  </si>
  <si>
    <t>Lehrplan Code (M##.P für Prüfungen)</t>
  </si>
  <si>
    <t>Wie viele Stunden pro Woche sind für das Fach vorgesehen</t>
  </si>
  <si>
    <t>Schuljahresstart</t>
  </si>
  <si>
    <t>Bitte hier das Jahr eintragen, in dem das Schuljahr beginnt</t>
  </si>
  <si>
    <t>UW
nicht vefügbar</t>
  </si>
  <si>
    <t>UW
kleiner als Vorherige</t>
  </si>
  <si>
    <t>UW
zu groß</t>
  </si>
  <si>
    <t>Verschiebbar</t>
  </si>
  <si>
    <t>halbe Klasse</t>
  </si>
  <si>
    <t>Woche verfügbar</t>
  </si>
  <si>
    <t>Hinweis</t>
  </si>
  <si>
    <t>Stoffverteilungsplan fixiert</t>
  </si>
  <si>
    <t>Ferien von</t>
  </si>
  <si>
    <t>Ferien bis</t>
  </si>
  <si>
    <t>Stoffverteilungsplan - Kurzanleitung</t>
  </si>
  <si>
    <t>C  Datum, D  KW - kommen automatisch aus der Unterrichtswoche.</t>
  </si>
  <si>
    <t>E  UW - die Unterrichtswoche. Wird erzeugt, bleibt aber von Hand änderbar.</t>
  </si>
  <si>
    <t>F  Lehrplan-Code - z. B. M10.1, bei Prüfungen M10.P.</t>
  </si>
  <si>
    <t>L  Hinweis - zeigt automatisch "1/2 Woche" bzw. "1/2 Klasse".</t>
  </si>
  <si>
    <t>M  Notizen - freier Text.</t>
  </si>
  <si>
    <t>Solange der Plan offen ist, wird der Referenz Code in Spalte B berechnet - er ändert sich also, sobald Zeilen verschoben oder eingefügt werden.</t>
  </si>
  <si>
    <t>Herbstferien</t>
  </si>
  <si>
    <t>Weihnachtsferien</t>
  </si>
  <si>
    <t>Osterferien</t>
  </si>
  <si>
    <t>Pfingstferien</t>
  </si>
  <si>
    <t>Fach</t>
  </si>
  <si>
    <t>Klasse</t>
  </si>
  <si>
    <t>Schule</t>
  </si>
  <si>
    <t>Lehrkraft</t>
  </si>
  <si>
    <t>Beispiel-Gymnasium</t>
  </si>
  <si>
    <t>Beispiel-FOS</t>
  </si>
  <si>
    <t>Stoffverteilungsplan</t>
  </si>
  <si>
    <t>Die vier kleinen Schaltflächen zum Verschieben, Einfügen und Löschen von Zeilen erscheinen direkt im Wochenplan, sobald dort eine Zeile markiert ist.</t>
  </si>
  <si>
    <t>Im Alltag</t>
  </si>
  <si>
    <t>Selten gebraucht</t>
  </si>
  <si>
    <t>Schulliste</t>
  </si>
  <si>
    <t>Ferien / eingeplante Fehlzeiten</t>
  </si>
  <si>
    <t>Blattschutz: aktiv</t>
  </si>
  <si>
    <t>Papierformat für den Export. DIN A3 lohnt sich, wenn die Spalten auf A4 zu schmal zusammengedrückt werden.</t>
  </si>
  <si>
    <t>nein</t>
  </si>
  <si>
    <t>Wird über die Schaltfläche im Blatt 'Steuerung' gesetzt</t>
  </si>
  <si>
    <t>Erwartungswert lt. LehrplanPLUS: … Std. – zum Abgleich mit der Summenformel links.</t>
  </si>
  <si>
    <t>SA/KA/kasL</t>
  </si>
  <si>
    <t>Faschingsferien</t>
  </si>
  <si>
    <t>DIN A4</t>
  </si>
  <si>
    <t>Der Knopf, mit dem die Planung beginnt - und mit dem man sie jederzeit wieder gerade rückt. Er trägt im Blatt "Wochenplan" in Spalte E ("UW") die verfügbaren Unterrichtswochen der Reihe nach ein, setzt die grauen Ferienzeilen an die passenden Stellen und füllt Datum (C) und KW (D) neu. BESTANDSDATEN BLEIBEN ERHALTEN: was in den Spalten F bis M steht - Lehrplan-Code, Thema, Kompetenzen, Material, Erledigt-Haken, Stunde, Hinweis, Notizen - wandert mit seiner Zeile mit und wird nicht angetastet. Es ändert sich nur, welche Unterrichtswoche neben welcher Zeile steht. Nach jedem Einfügen, Löschen oder Verschieben von Zeilen und nach jeder Änderung an der Ferientabelle einmal drücken.</t>
  </si>
  <si>
    <t>Friert im Blatt "Wochenplan" die Referenz-Codes in Spalte B ein: aus den Formeln werden feste Texte. Ab dann wandert der Code beim Verschieben mit seiner Zeile mit und ändert sich auch nicht mehr, wenn oberhalb Zeilen dazukommen oder wegfallen. Drücken, sobald die Planung steht und du die Codes weitergibst - etwa auf Arbeitsblättern.</t>
  </si>
  <si>
    <t>Macht die Referenz-Codes in Spalte B des Blattes "Wochenplan" wieder zu Formeln. ACHTUNG: dabei werden ALLE Codes neu durchnummeriert. Bereits weitergegebene Codes stimmen danach nicht mehr - nur benutzen, solange niemand mit ihnen arbeitet.</t>
  </si>
  <si>
    <t>Update</t>
  </si>
  <si>
    <t>Für ein Update NICHT nötig - dafür ist "Daten importieren" da. Baut dieses Blatt, die Hilfsangaben im Blatt "Einstellungen", die Formelspalten des "Wochenplan" (A bis D, L und die ausgeblendeten Hilfsspalten rechts) sowie die Rechenspalten F bis I und die Summenzeile in "Lernbereiche" neu auf und setzt den Blattschutz frisch. Für den Spezialfall, dass etwas verrutscht ist oder eine Fehlermeldung darum bittet.</t>
  </si>
  <si>
    <t>Zwei weitere Schaltflächen sitzen dort, wo sie gebraucht werden, beide im Blatt "Einstellungen": "Ferien aus Kalender vorschlagen" direkt über der Ferientabelle (Spalten I bis K) und "Kopf übernehmen" bei den vier Kopfangaben Fach, Klasse, Schule und Lehrkraft.</t>
  </si>
  <si>
    <t>Schreibt beide Blätter in EINE PDF-Datei: zuerst "Wochenplan" (Spalten B bis M), dahinter "Lernbereiche" (Spalten A bis J). Immer quer, die Breite wird auf eine Seite skaliert. Ordner und Dateiname fragt der gewohnte Speichern-Dialog ab; den zuletzt benutzten Ordner merkt sich die Datei.</t>
  </si>
  <si>
    <t>DER VORGESEHENE WEG FÜR EIN UPDATE. Eine neue Fassung der Mappe kommt als fertige, leere Datei und bringt die aktuellen Makros schon mit. Dieser Knopf holt deine bisherigen Inhalte aus der alten Datei herein und baut den Plan fertig auf; die alte Datei wird dabei nur gelesen. Danach nur noch speichern. Geht nur in eine Mappe, in der noch nichts geplant ist. Was im Einzelnen übernommen wird, steht im Blatt "Anleitung" unter "Eine neue Fassung der Mappe".</t>
  </si>
  <si>
    <r>
      <t>ACHTUNG:</t>
    </r>
    <r>
      <rPr>
        <sz val="9"/>
        <color rgb="FF646E80"/>
        <rFont val="Calibri"/>
        <family val="2"/>
        <charset val="1"/>
      </rPr>
      <t xml:space="preserve">  Hebt den Schutz aller Blätter auf. Danach ist alles änderbar - auch das, was die Makros brauchen. Zwei Dinge gehen dabei erfahrungsgemäß schief: Erstens sind eigene Umbauten beim nächsten Update WEG, denn übernommen werden nur deine Inhalte, nicht dein Blattaufbau. Zweitens reicht ein Sortieren, ein Ausschneiden-und-Einfügen oder eine gelöschte Spalte, um die Formelbezüge reihum zu zerlegen - danach rechnet nichts mehr richtig, und man sieht es erst Wochen später. Genau davor schützt der Blattschutz. Nur einschalten, wenn du weißt, was du tust - und danach sofort wieder zurückstellen.</t>
    </r>
  </si>
  <si>
    <t>Eine Mappe je Klasse und Fach. Du arbeitest dich in drei Schritten vor: erst klärst du, welche Wochen das Schuljahr überhaupt hergibt, dann verteilst du die Lernbereiche grob darauf, und zum Schluss planst du Woche für Woche. Das Rechnen und Prüfen übernimmt die Mappe.</t>
  </si>
  <si>
    <t>Die Makros sind bereits eingebaut. Du musst nichts importieren und nichts über Alt+F8 starten - alles läuft über die Schaltflächen.</t>
  </si>
  <si>
    <t>Schritt 1   Einstellungen - welche Wochen hast du überhaupt?</t>
  </si>
  <si>
    <t>Ziel: Am Ende dieses Schritts weißt du, wie viele Unterrichtswochen dir in dieser Klasse wirklich bleiben.</t>
  </si>
  <si>
    <t>Oben links Schuljahresstart (das Jahr, in dem das Schuljahr beginnt) und Stunden pro Woche eintragen.</t>
  </si>
  <si>
    <t>Im Schulwochen-Kalender bei jeder Woche das Häkchen "Woche verfügbar" setzen oder wegnehmen. Wandertage, Praktika und Prüfungswochen also abwählen. "halbe Woche" und "halbe Klasse" für alles, was nur zur Hälfte stattfindet - beides zählt in der Stundenrechnung mit.</t>
  </si>
  <si>
    <t>Ferientabelle rechts daneben: die Schaltfläche "Ferien aus Kalender vorschlagen" darüber füllt sie aus den Lücken zwischen den Schulwochen. Bezeichnungen kurz prüfen, fertig. Die Spalte heißt bewusst "Ferien / eingeplante Fehlzeiten": dort gehört alles hinein, was Unterricht kostet - auch Fortbildungen, Praktika oder ein Schullandheimaufenthalt.</t>
  </si>
  <si>
    <t>Die vier Kopfangaben eintragen: Fach, Klasse, Schule (Auswahlliste) und Lehrkraft. Danach "Kopf übernehmen" drücken - das schreibt über die Tabellen in "Wochenplan" und "Lernbereiche" eine Titelzeile: links das Schullogo, daneben Fach und Klasse, rechts Lehrkraft und Schuljahr.</t>
  </si>
  <si>
    <t>Die Titelzeile braucht nur eine einzige Zeile. Der Schulname steht nicht extra dabei - er steht schon im Logo. Beide Schullogos stecken fertig in der Mappe; welches erscheint, entscheidet allein die Auswahl bei "Schule".</t>
  </si>
  <si>
    <t>Die Zahl, auf die es ankommt, steht oben links: "verfügbare Klassen-Wochen". Mit ihr planst du im nächsten Schritt.</t>
  </si>
  <si>
    <t>Schritt 2   Lernbereiche - die Grobplanung</t>
  </si>
  <si>
    <t>Ziel: Du verteilst die Lernbereiche des LehrplanPLUS auf das Schuljahr - noch ohne einzelne Stunden.</t>
  </si>
  <si>
    <t>Je Lernbereich eine Zeile: Referenzcode (z. B. M10.1), Bezeichnung und "Std. lt. Lehrplan". Die Kompetenzerwartungen kannst du rechts in der letzten Spalte sammeln.</t>
  </si>
  <si>
    <t>Dann "von" und "bis" als Unterrichtswoche eintragen. Die Spalten rechts rechnen sofort mit: wie viele Wochen der Lehrplan vorsieht, wie viele du tatsächlich eingeplant hast und was bis zum Jahresende noch übrig bleibt.</t>
  </si>
  <si>
    <t>So lange schieben, bis die Summe unten zum Erwartungswert des Lehrplans passt und am Jahresende noch Luft für Puffer bleibt.</t>
  </si>
  <si>
    <t>Der Referenzcode ist das Bindeglied zwischen den Blättern: Er taucht im Wochenplan in Spalte F wieder auf. Passt ein Code dort nicht zu der Woche, in der die Zeile steht, meldet sich die Warnspalte. Prüfungszeilen sind ausgenommen - sie enden auf ".P" (z. B. M10.P).</t>
  </si>
  <si>
    <t>Schritt 3   Wochenplan - die Feinplanung</t>
  </si>
  <si>
    <t>Ziel: Jede Unterrichtswoche bekommt ihr Thema.</t>
  </si>
  <si>
    <t>Einmal im Blatt "Steuerung" auf "Wochenplan neu aufbauen" drücken. Danach hat jede Zeile ihre Unterrichtswoche in Spalte E, und dazwischen stehen die grauen Ferienzeilen.</t>
  </si>
  <si>
    <t>Diesen Knopf darfst du jederzeit wieder drücken, auch wenn der Plan schon voll ist. Er ordnet nur die Unterrichtswochen und die Ferienzeilen neu - deine Einträge in den Spalten F bis M bleiben unangetastet und wandern mit ihrer Zeile mit.</t>
  </si>
  <si>
    <t>Jetzt Zeile für Zeile füllen: Lehrplan-Code (F), Thema (G), Kompetenzen (H), Material (I), Art der Stunde (K) und bei Bedarf Notizen (M).</t>
  </si>
  <si>
    <t>Die Auswahl in Spalte K färbt die Zeile ein. So siehst du auf einen Blick, wo Schulaufgaben, Puffer und verschiebbare Stunden liegen.</t>
  </si>
  <si>
    <t>Reihenfolge ändern: Zeilen markieren - links am Rand erscheinen vier kleine Schaltflächen (hoch, plus, minus, runter). Die Unterrichtswochen bleiben stehen, es wandern nur die Inhalte, und Ferienzeilen werden übersprungen.</t>
  </si>
  <si>
    <t>Steht oben rechts "Warnungen", passt irgendwo etwas nicht zusammen. Die betroffene Zeile hat in Spalte A ein "!".</t>
  </si>
  <si>
    <t>Wenn die Planung steht</t>
  </si>
  <si>
    <t>Sobald du die Codes verwendest bzw. weitergibst (z. B. in deinem Lehrerplaner oder weil du dich mit einem Kollegen über den Code abstimmst), klick im Blatt "Steuerung" auf "Stoffverteilungsplan fixieren". Danach sind die Codes feste Werte: sie wandern beim Verschieben mit, bleiben beim Löschen anderer Zeilen unverändert, und eine neue Zeile bekommt einen noch nie vergebenen Code, sobald du in Spalte F den Lehrplan-Code einträgst.</t>
  </si>
  <si>
    <t>'Fixierung aufheben'' nummeriert ALLE Codes neu durch. Nur benutzen, solange noch niemand mit den alten Codes arbeitet.</t>
  </si>
  <si>
    <t>Als PDF weitergeben</t>
  </si>
  <si>
    <t>Im Blatt "Steuerung" unter der Schaltfläche das Papierformat wählen (DIN A4 oder - bei vielen Spalten angenehmer zu lesen - DIN A3), dann auf "Als PDF exportieren" klicken.</t>
  </si>
  <si>
    <t>Das PDF enthält zuerst den kompletten "Wochenplan", danach die "Lernbereiche", in einer einzigen Datei.</t>
  </si>
  <si>
    <t>Gedruckt wird immer im Querformat, und die Breite wird so skaliert, dass die Spalten B bis M auf die Seite passen. Es rutscht also nichts seitlich auf eine zweite Seite.</t>
  </si>
  <si>
    <t>Es kommt der gewohnte Speichern-Dialog: Ordner und Dateiname sind frei wählbar, vorgeschlagen wird der Ordner der Mappe und ein Name aus Fach und Klasse.</t>
  </si>
  <si>
    <t>Der Titelblock erscheint nur einmal ganz oben, nicht auf jeder Seite - das spart Platz. Wiederholt wird auf jeder Seite die Überschriftenzeile.</t>
  </si>
  <si>
    <t>Im laufenden Schuljahr</t>
  </si>
  <si>
    <t>Erledigtes in Spalte J abhaken - die Zeile wird dann leicht grün und unterstrichen dargestellt.</t>
  </si>
  <si>
    <t>Was verschoben werden muss, mit den vier Schaltflächen umsortieren.</t>
  </si>
  <si>
    <t>Ändert sich der Kalender (zusätzlicher Feiertag, ausgefallene Woche), das Häkchen in den Einstellungen anpassen und einmal "Wochenplan neu aufbauen" drücken.</t>
  </si>
  <si>
    <t>Zum Nachschlagen</t>
  </si>
  <si>
    <t>Die Spalten im Blatt Wochenplan</t>
  </si>
  <si>
    <t>A  Warnkennzeichen - ein "!" heißt: in dieser Zeile stimmt etwas nicht.</t>
  </si>
  <si>
    <t>B  Referenz Code - berechnet oder nach dem Fixieren ein fester Wert.</t>
  </si>
  <si>
    <t>G  Thema     H  Kompetenzen     I  Material / Aufgaben</t>
  </si>
  <si>
    <t>J  Erledigt - Kontrollkästchen. Abgehakte Zeilen werden farblich hervorgehoben.</t>
  </si>
  <si>
    <t>K  Stunde - Auswahlliste: Stofferarbeitung, Vorbereitung SA, SA/KA/kasL, Puffer, Verschiebbar. Je nach Auswahl bekommt die Zeile eine andere Farbe.</t>
  </si>
  <si>
    <t>N bis V sind Hilfsspalten der Automatik. Bitte nicht von Hand ändern. In Spalte N steht bei den grauen Zwischenzeilen ein Kennzeichen - in der Hintergrundfarbe geschrieben, also nicht zu sehen. Die Einzelheiten zu den Warnungen stehen in den ausgeblendeten Spalten P bis S - über das kleine Plus oberhalb der Spaltenköpfe einblendbar.</t>
  </si>
  <si>
    <t>Was gesperrt ist und warum</t>
  </si>
  <si>
    <t>Beschreibbar sind nur die Zellen, die du wirklich pflegst: im Wochenplan die Spalten E bis K und M, in Lernbereiche die Eingabespalten, in Einstellungen die Kopfwerte, der Kalender, die Ferientabelle und die vier Kopfangaben.</t>
  </si>
  <si>
    <t>Im Wochenplan lassen sich Zeilen über das Excel-Kontextmenü weder einfügen noch löschen, verschieben oder sortieren. Der Plan lebt davon, dass Zeilen, Unterrichtswochen, Ferienzeilen und Formeln zusammenpassen - dafür gibt es die vier Schaltflächen am Zeilenrand.</t>
  </si>
  <si>
    <t>In Lernbereiche und Einstellungen darfst du Zeilen einfügen und löschen. Unterhalb der Daten stehen ausserdem freie Zeilen bereit.</t>
  </si>
  <si>
    <t>Die Stundenliste in Einstellungen ist gesperrt: an ihr hängen die Farbregeln und die Auswahlliste der Spalte K.</t>
  </si>
  <si>
    <t>Musst du doch einmal ganz frei arbeiten: "Steuerung", "Blattschutz ein / aus" - und danach bitte wieder einschalten.</t>
  </si>
  <si>
    <t>Eine neue Fassung der Mappe</t>
  </si>
  <si>
    <t>Neue Fassungen kommen als fertige, leere Datei - sie bringen die aktuellen Makros schon mit. Du importierst nichts und stellst nichts um.</t>
  </si>
  <si>
    <t>Die neue Datei öffnen, Makros zulassen, im Blatt "Steuerung" unter "Update" auf "Daten importieren" klicken und deine bisherige Datei auswählen.</t>
  </si>
  <si>
    <t>Danach speichern - am besten unter dem Namen der bisherigen Datei. Deine alte Datei wird beim Import nur gelesen und bleibt unverändert.</t>
  </si>
  <si>
    <t>Übernommen wird alles, was du selbst eingetragen hast:</t>
  </si>
  <si>
    <t>Einstellungen: Schuljahresstart, Stunden pro Woche, verfügbare Wochen, der komplette Schulwochen-Kalender mit allen Häkchen, die Ferientabelle und die vier Kopfangaben.</t>
  </si>
  <si>
    <t>Lernbereiche: alle Zeilen bis zur Summe - Referenzcode, von, bis, Bezeichnung, Std. lt. Lehrplan und die Kompetenzerwartungen (Spalten A bis E und J).</t>
  </si>
  <si>
    <t>Wochenplan: je Planzeile die Spalten E bis K und M, also Unterrichtswoche, Lehrplan-Code, Thema, Kompetenzen, Material, das Erledigt-Häkchen, die Art der Stunde und die Notizen.</t>
  </si>
  <si>
    <t>Nicht übernommen wird, was ohnehin berechnet wird: Referenz-Codes, Datum, KW, die Warnspalten, die Ferienzeilen und die Rechenspalten der Lernbereiche. Das baut die neue Mappe selbst auf - deshalb muss danach nichts mehr gedrückt werden.</t>
  </si>
  <si>
    <t>Ebenfalls nicht übernommen wird ein eigener Umbau des Blattaufbaus. Wer Spalten verschiebt oder Formeln umschreibt, verliert das beim nächsten Update.</t>
  </si>
  <si>
    <t>Der Import geht nur in eine Mappe, in der noch nichts geplant ist. Das ist Absicht: so kann ein Fehlklick nichts kosten.</t>
  </si>
  <si>
    <t>Wenn etwas klemmt</t>
  </si>
  <si>
    <t>Die Schaltflächen reagieren nicht: Excel hat die Makros blockiert. Datei schließen, im Explorer rechts anklicken, Eigenschaften, unten "Zulassen" ankreuzen, wieder öffnen und "Inhalt aktivieren" wählen.</t>
  </si>
  <si>
    <t>Die Mappe muss als .xlsm gespeichert werden, sonst gehen beim Speichern alle Funktionen verloren.</t>
  </si>
  <si>
    <t>Farben oder Formeln sehen seltsam aus: "Steuerung", "Einrichtung / Reparatur" drücken. Das ist der Reparaturknopf, nicht der Update-Knopf - für eine neue Fassung ist "Daten importieren" zuständig.</t>
  </si>
  <si>
    <t>Eine Zelle lässt sich nicht bearbeiten: das ist Absicht - berechnete Spalten und Ferienzeilen sind gesperrt.</t>
  </si>
  <si>
    <t>Mathematik</t>
  </si>
  <si>
    <t>Max Mustermann</t>
  </si>
  <si>
    <t>Skikurs</t>
  </si>
  <si>
    <t>M10.1</t>
  </si>
  <si>
    <t xml:space="preserve">Lernbereich 1 (Platzhalter)</t>
  </si>
  <si>
    <t xml:space="preserve">Kompetenzerwartungen (Platzhalter)</t>
  </si>
  <si>
    <t>M10.3</t>
  </si>
  <si>
    <t xml:space="preserve">Lernbereich 2 (Platzhalter)</t>
  </si>
  <si>
    <t>M10.4</t>
  </si>
  <si>
    <t xml:space="preserve">Lernbereich 3 (Platzhalter)</t>
  </si>
  <si>
    <t>M10.2</t>
  </si>
  <si>
    <t xml:space="preserve">Lernbereich 4 (Platzhalter)</t>
  </si>
  <si>
    <t>M10.5</t>
  </si>
  <si>
    <t xml:space="preserve">Lernbereich 5 (Platzhalter)</t>
  </si>
  <si>
    <t xml:space="preserve">Inhalt der Stunde (Platzhalter)</t>
  </si>
  <si>
    <t xml:space="preserve">Material (Platzhalter)</t>
  </si>
  <si>
    <t>M10.P</t>
  </si>
  <si>
    <t xml:space="preserve">Thema (Platzhalter)</t>
  </si>
  <si>
    <t xml:space="preserve">Notiz (Platzhalter)</t>
  </si>
  <si>
    <t>Mathematik   -   Klasse 10</t>
  </si>
  <si>
    <t>Max Mustermann        Schuljahr 2026/27</t>
  </si>
  <si>
    <t>F</t>
  </si>
  <si>
    <t>Pfingstferien   17.05.2027 - 30.05.2027</t>
  </si>
  <si>
    <t>Osterferien   22.03.2027 - 04.04.2027</t>
  </si>
  <si>
    <t>Faschingsferien   08.02.2027 - 14.02.2027</t>
  </si>
  <si>
    <t>Weihnachtsferien   24.12.2026 - 10.01.2027</t>
  </si>
  <si>
    <t>Skikurs   07.12.2026 - 13.12.2026</t>
  </si>
  <si>
    <t>Herbstferien   02.11.2026 - 08.11.2026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</si>
</sst>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dd\.mm\.yyyy"/>
  </numFmts>
  <fonts count="34" x14ac:knownFonts="1">
    <font>
      <sz val="11"/>
      <color theme="1"/>
      <name val="Calibri"/>
      <family val="2"/>
      <charset val="1"/>
    </font>
    <font>
      <sz val="10"/>
      <name val="Arial"/>
      <family val="2"/>
    </font>
    <font>
      <b/>
      <sz val="10"/>
      <color rgb="FFFFFFFF"/>
      <name val="Arial"/>
      <family val="2"/>
    </font>
    <font>
      <sz val="10"/>
      <name val="Arial"/>
      <family val="2"/>
    </font>
    <font>
      <b/>
      <sz val="10"/>
      <name val="Arial"/>
      <family val="2"/>
    </font>
    <font>
      <i/>
      <sz val="9"/>
      <color rgb="FF555555"/>
      <name val="Arial"/>
      <family val="2"/>
    </font>
    <font>
      <b/>
      <sz val="16"/>
      <color rgb="FFFF0000"/>
      <name val="Bernard MT Condensed"/>
      <family val="1"/>
    </font>
    <font>
      <b/>
      <sz val="8"/>
      <color rgb="FFFFFFFF"/>
      <name val="Calibri"/>
      <family val="2"/>
      <scheme val="minor"/>
    </font>
    <font>
      <b/>
      <sz val="8"/>
      <color theme="9" tint="-0.499984740745262"/>
      <name val="Calibri"/>
      <family val="2"/>
      <scheme val="minor"/>
    </font>
    <font>
      <sz val="10"/>
      <color theme="1" tint="0.249977111117893"/>
      <name val="Arial"/>
      <family val="2"/>
    </font>
    <font>
      <b/>
      <sz val="10"/>
      <color theme="0" tint="-4.9989318521683403E-2"/>
      <name val="Arial"/>
      <family val="2"/>
    </font>
    <font>
      <b/>
      <sz val="11"/>
      <color theme="1"/>
      <name val="Calibri"/>
      <family val="2"/>
    </font>
    <font>
      <sz val="11"/>
      <color rgb="FF6E7A91"/>
      <name val="Calibri"/>
      <family val="2"/>
      <charset val="1"/>
    </font>
    <font>
      <b/>
      <sz val="20"/>
      <color rgb="FF2D3748"/>
      <name val="Calibri"/>
      <family val="2"/>
    </font>
    <font>
      <sz val="11"/>
      <color rgb="FF232D3C"/>
      <name val="Calibri"/>
      <family val="2"/>
      <charset val="1"/>
    </font>
    <font>
      <i/>
      <sz val="10.5"/>
      <color rgb="FF785514"/>
      <name val="Calibri"/>
      <family val="2"/>
    </font>
    <font>
      <b/>
      <sz val="13"/>
      <color rgb="FFFFFFFF"/>
      <name val="Calibri"/>
      <family val="2"/>
    </font>
    <font>
      <b/>
      <sz val="11"/>
      <color rgb="FF3C485C"/>
      <name val="Calibri"/>
      <family val="2"/>
    </font>
    <font>
      <sz val="11"/>
      <color theme="4" tint="-0.499984740745262"/>
      <name val="Calibri"/>
      <family val="2"/>
      <charset val="1"/>
    </font>
    <font>
      <sz val="10"/>
      <color theme="4" tint="-0.499984740745262"/>
      <name val="Arial"/>
      <family val="2"/>
    </font>
    <font>
      <b/>
      <sz val="10"/>
      <color theme="4" tint="-0.499984740745262"/>
      <name val="Arial"/>
      <family val="2"/>
    </font>
    <font>
      <b/>
      <sz val="11"/>
      <color rgb="FF6E7A91"/>
      <name val="Calibri"/>
      <family val="2"/>
    </font>
    <font>
      <b/>
      <sz val="12"/>
      <color rgb="FF4E697E"/>
      <name val="Calibri"/>
      <family val="2"/>
    </font>
    <font>
      <sz val="10"/>
      <color rgb="FF646E80"/>
      <name val="Calibri"/>
      <family val="2"/>
      <charset val="1"/>
    </font>
    <font>
      <sz val="9"/>
      <color rgb="FF646E80"/>
      <name val="Calibri"/>
      <family val="2"/>
      <charset val="1"/>
    </font>
    <font>
      <i/>
      <sz val="9"/>
      <color rgb="FF8C96A8"/>
      <name val="Calibri"/>
      <family val="2"/>
    </font>
    <font>
      <sz val="11"/>
      <color theme="1"/>
      <name val="Calibri"/>
      <family val="2"/>
    </font>
    <font>
      <b/>
      <sz val="10"/>
      <color rgb="FF16507E"/>
      <name val="Calibri"/>
      <family val="2"/>
    </font>
    <font>
      <i/>
      <sz val="9"/>
      <color rgb="FF6E7A91"/>
      <name val="Calibri"/>
      <family val="2"/>
    </font>
    <font>
      <b/>
      <sz val="14"/>
      <color rgb="FF16507E"/>
      <name val="Calibri"/>
      <family val="2"/>
    </font>
    <font>
      <b/>
      <sz val="9"/>
      <color rgb="FFBA4A4A"/>
      <name val="Calibri"/>
      <family val="2"/>
    </font>
    <font>
      <b/>
      <sz val="22"/>
      <color rgb="FF2D3748"/>
      <name val="Calibri"/>
      <family val="2"/>
    </font>
    <font>
      <sz val="11"/>
      <color rgb="FFFFFFFF"/>
      <name val="Calibri"/>
      <family val="2"/>
      <charset val="1"/>
    </font>
    <font>
      <b/>
      <i/>
      <sz val="10"/>
      <color rgb="FF646464"/>
      <name val="Arial"/>
      <family val="2"/>
    </font>
  </fonts>
  <fills count="10">
    <fill>
      <patternFill patternType="none"/>
    </fill>
    <fill>
      <patternFill patternType="gray125"/>
    </fill>
    <fill>
      <patternFill patternType="solid">
        <fgColor rgb="FF16507E"/>
        <bgColor rgb="FF003366"/>
      </patternFill>
    </fill>
    <fill>
      <patternFill patternType="solid">
        <fgColor theme="9" tint="-0.499984740745262"/>
        <bgColor rgb="FF003366"/>
      </patternFill>
    </fill>
    <fill>
      <patternFill patternType="solid">
        <fgColor rgb="FF5F8EB4"/>
        <bgColor rgb="FF003366"/>
      </patternFill>
    </fill>
    <fill>
      <patternFill patternType="solid">
        <fgColor rgb="FFE1E9EF"/>
        <bgColor indexed="64"/>
      </patternFill>
    </fill>
    <fill>
      <patternFill patternType="solid">
        <fgColor rgb="FFFDF6E3"/>
        <bgColor indexed="64"/>
      </patternFill>
    </fill>
    <fill>
      <patternFill patternType="solid">
        <fgColor rgb="FF4E697E"/>
        <bgColor indexed="64"/>
      </patternFill>
    </fill>
    <fill>
      <patternFill patternType="solid">
        <fgColor rgb="FFFFFFFF"/>
        <bgColor indexed="64"/>
      </patternFill>
    </fill>
    <fill>
      <patternFill patternType="solid">
        <fgColor rgb="FFE6E6E6"/>
        <bgColor indexed="64"/>
      </patternFill>
    </fill>
  </fills>
  <borders count="15">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dotted">
        <color rgb="FFFABD8A"/>
      </left>
      <right style="dotted">
        <color rgb="FFFABD8A"/>
      </right>
      <top style="dotted">
        <color rgb="FFFABD8A"/>
      </top>
      <bottom style="dotted">
        <color rgb="FFFABD8A"/>
      </bottom>
      <diagonal/>
    </border>
    <border>
      <left style="thin">
        <color rgb="FFBFBFBF"/>
      </left>
      <right/>
      <top style="thin">
        <color rgb="FFBFBFBF"/>
      </top>
      <bottom style="thin">
        <color rgb="FFBFBFBF"/>
      </bottom>
      <diagonal/>
    </border>
    <border>
      <left/>
      <right style="thin">
        <color rgb="FFBFBFBF"/>
      </right>
      <top/>
      <bottom/>
      <diagonal/>
    </border>
    <border>
      <left/>
      <right style="thin">
        <color rgb="FFBFBFBF"/>
      </right>
      <top style="thin">
        <color rgb="FFBFBFBF"/>
      </top>
      <bottom style="thin">
        <color rgb="FFBFBFBF"/>
      </bottom>
      <diagonal/>
    </border>
    <border>
      <left style="thin">
        <color rgb="FFB4BCC8"/>
      </left>
      <right style="thin">
        <color rgb="FFB4BCC8"/>
      </right>
      <top style="thin">
        <color rgb="FFB4BCC8"/>
      </top>
      <bottom style="thin">
        <color rgb="FFB4BCC8"/>
      </bottom>
      <diagonal/>
    </border>
    <border>
      <left style="thin">
        <color rgb="FFBFBFBF"/>
      </left>
      <right style="thin">
        <color rgb="FFBFBFBF"/>
      </right>
      <top style="thin">
        <color rgb="FFB4BCC8"/>
      </top>
      <bottom style="thin">
        <color rgb="FFBFBFBF"/>
      </bottom>
      <diagonal/>
    </border>
    <border>
      <left/>
      <right/>
      <top/>
      <bottom style="thin">
        <color rgb="FFC8D0DC"/>
      </bottom>
      <diagonal/>
    </border>
    <border>
      <left style="thin">
        <color rgb="FF5F8EB4"/>
      </left>
      <right style="thin">
        <color rgb="FF5F8EB4"/>
      </right>
      <top style="thin">
        <color rgb="FF5F8EB4"/>
      </top>
      <bottom style="thin">
        <color rgb="FF5F8EB4"/>
      </bottom>
      <diagonal/>
    </border>
    <border>
      <left style="medium">
        <color rgb="FF16507E"/>
      </left>
      <right/>
      <top style="medium">
        <color rgb="FF16507E"/>
      </top>
      <bottom style="medium">
        <color rgb="FF16507E"/>
      </bottom>
      <diagonal/>
    </border>
    <border>
      <left/>
      <right/>
      <top style="medium">
        <color rgb="FF16507E"/>
      </top>
      <bottom style="medium">
        <color rgb="FF16507E"/>
      </bottom>
      <diagonal/>
    </border>
    <border>
      <left/>
      <right style="medium">
        <color rgb="FF16507E"/>
      </right>
      <top style="medium">
        <color rgb="FF16507E"/>
      </top>
      <bottom style="medium">
        <color rgb="FF16507E"/>
      </bottom>
      <diagonal/>
    </border>
    <border>
      <left/>
      <right/>
      <top style="thin">
        <color rgb="FFBFBFBF"/>
      </top>
      <bottom style="thin">
        <color rgb="FFBFBFBF"/>
      </bottom>
      <diagonal/>
    </border>
  </borders>
  <cellStyleXfs count="1">
    <xf numFmtId="0" fontId="0" fillId="0" borderId="0"/>
  </cellStyleXfs>
  <cellXfs count="69">
    <xf numFmtId="0" fontId="0" fillId="0" borderId="0" xfId="0"/>
    <xf numFmtId="0" fontId="3" fillId="0" borderId="6"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vertical="top" wrapText="1"/>
      <protection locked="0"/>
    </xf>
    <xf numFmtId="0" fontId="1" fillId="0" borderId="1" xfId="0" applyFont="1" applyBorder="1" applyAlignment="1" applyProtection="1">
      <alignment vertical="top" wrapText="1"/>
      <protection locked="0"/>
    </xf>
    <xf numFmtId="0" fontId="3" fillId="0" borderId="1" xfId="0" applyFont="1" applyBorder="1" applyAlignment="1" applyProtection="1">
      <alignment horizontal="center" vertical="center" wrapText="1"/>
      <protection locked="0"/>
      <extLst>
        <ext xmlns:xfpb="http://schemas.microsoft.com/office/spreadsheetml/2022/featurepropertybag" uri="{C7286773-470A-42A8-94C5-96B5CB345126}">
          <xfpb:xfComplement i="0"/>
        </ext>
      </extLst>
    </xf>
    <xf numFmtId="0" fontId="3" fillId="0" borderId="1" xfId="0" applyFont="1" applyBorder="1" applyAlignment="1" applyProtection="1">
      <alignment horizontal="center" vertical="center" wrapText="1"/>
      <protection locked="0"/>
    </xf>
    <xf numFmtId="0" fontId="3" fillId="0" borderId="4" xfId="0" applyFont="1" applyBorder="1" applyAlignment="1" applyProtection="1">
      <alignment vertical="top" wrapText="1"/>
      <protection locked="0"/>
    </xf>
    <xf numFmtId="0" fontId="0" fillId="0" borderId="0" xfId="0" applyAlignment="1" applyProtection="1">
      <alignment horizontal="center"/>
      <protection locked="0"/>
    </xf>
    <xf numFmtId="0" fontId="0" fillId="0" borderId="7" xfId="0" applyBorder="1" applyProtection="1">
      <protection locked="0"/>
    </xf>
    <xf numFmtId="164" fontId="0" fillId="0" borderId="7" xfId="0" applyNumberFormat="1" applyBorder="1" applyAlignment="1" applyProtection="1">
      <alignment horizontal="right" indent="1"/>
      <protection locked="0"/>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xf>
    <xf numFmtId="165" fontId="0" fillId="0" borderId="7" xfId="0" applyNumberFormat="1" applyBorder="1" applyProtection="1">
      <protection locked="0"/>
    </xf>
    <xf numFmtId="0" fontId="4" fillId="0" borderId="1" xfId="0" applyFont="1" applyBorder="1" applyAlignment="1" applyProtection="1">
      <alignment horizontal="center" vertical="top" wrapText="1"/>
      <protection locked="0"/>
    </xf>
    <xf numFmtId="0" fontId="4" fillId="0" borderId="1" xfId="0" applyFont="1" applyBorder="1" applyProtection="1">
      <protection locked="0"/>
    </xf>
    <xf numFmtId="0" fontId="4" fillId="0" borderId="0" xfId="0" applyFont="1" applyProtection="1">
      <protection locked="0"/>
    </xf>
    <xf numFmtId="0" fontId="5" fillId="0" borderId="0" xfId="0" applyFont="1" applyAlignment="1" applyProtection="1">
      <alignment vertical="top" wrapText="1"/>
      <protection locked="0"/>
    </xf>
    <xf numFmtId="0" fontId="18" fillId="0" borderId="7" xfId="0" applyFont="1" applyBorder="1" applyProtection="1">
      <protection locked="0"/>
    </xf>
    <xf numFmtId="0" fontId="0" fillId="8" borderId="7" xfId="0" applyFill="1" applyBorder="1" applyAlignment="1" applyProtection="1">
      <alignment horizontal="left" indent="2"/>
      <protection locked="0"/>
    </xf>
    <xf numFmtId="0" fontId="27" fillId="8" borderId="10" xfId="0" applyFont="1" applyFill="1" applyBorder="1" applyAlignment="1" applyProtection="1">
      <alignment horizontal="center" vertical="center"/>
      <protection locked="0"/>
    </xf>
    <xf numFmtId="0" fontId="6" fillId="0" borderId="0" xfId="0" applyFont="1" applyAlignment="1" applyProtection="1">
      <alignment horizontal="center" vertical="top"/>
    </xf>
    <xf numFmtId="0" fontId="29" fillId="0" borderId="11" xfId="0" applyFont="1" applyFill="1" applyBorder="1" applyAlignment="1" applyProtection="1">
      <alignment horizontal="left" vertical="center" indent="1"/>
    </xf>
    <xf numFmtId="0" fontId="29" fillId="0" borderId="12" xfId="0" applyFont="1" applyFill="1" applyBorder="1" applyAlignment="1" applyProtection="1">
      <alignment horizontal="left" vertical="center" indent="1"/>
    </xf>
    <xf numFmtId="0" fontId="29" fillId="0" borderId="12" xfId="0" applyFont="1" applyFill="1" applyBorder="1" applyAlignment="1" applyProtection="1">
      <alignment horizontal="center" vertical="center"/>
    </xf>
    <xf numFmtId="0" fontId="29" fillId="0" borderId="13" xfId="0" applyFont="1" applyFill="1" applyBorder="1" applyAlignment="1" applyProtection="1">
      <alignment horizontal="right" vertical="center" indent="1"/>
    </xf>
    <xf numFmtId="0" fontId="0" fillId="0" borderId="0" xfId="0" applyProtection="1"/>
    <xf numFmtId="0" fontId="0" fillId="0" borderId="0" xfId="0" applyFill="1" applyBorder="1" applyProtection="1"/>
    <xf numFmtId="0" fontId="10" fillId="4" borderId="1" xfId="0" applyFont="1" applyFill="1" applyBorder="1" applyAlignment="1" applyProtection="1">
      <alignment horizontal="center" vertical="top" wrapText="1"/>
    </xf>
    <xf numFmtId="0" fontId="2" fillId="2" borderId="6" xfId="0" applyFont="1" applyFill="1" applyBorder="1" applyAlignment="1" applyProtection="1">
      <alignment horizontal="center" vertical="top" wrapText="1"/>
    </xf>
    <xf numFmtId="0" fontId="2" fillId="2" borderId="1" xfId="0" applyFont="1" applyFill="1" applyBorder="1" applyAlignment="1" applyProtection="1">
      <alignment horizontal="center" vertical="top" wrapText="1"/>
    </xf>
    <xf numFmtId="0" fontId="2" fillId="2" borderId="4" xfId="0" applyFont="1" applyFill="1" applyBorder="1" applyAlignment="1" applyProtection="1">
      <alignment horizontal="center" vertical="top" wrapText="1"/>
    </xf>
    <xf numFmtId="0" fontId="8" fillId="0" borderId="0" xfId="0" applyFont="1" applyAlignment="1" applyProtection="1">
      <alignment horizontal="center" vertical="center" wrapText="1"/>
    </xf>
    <xf numFmtId="0" fontId="7" fillId="3" borderId="5" xfId="0" applyFont="1" applyFill="1" applyBorder="1" applyAlignment="1" applyProtection="1">
      <alignment horizontal="center" vertical="top" wrapText="1"/>
    </xf>
    <xf numFmtId="0" fontId="7" fillId="3" borderId="2" xfId="0" applyFont="1" applyFill="1" applyBorder="1" applyAlignment="1" applyProtection="1">
      <alignment horizontal="center" vertical="top" wrapText="1"/>
    </xf>
    <xf numFmtId="0" fontId="9" fillId="0" borderId="1" xfId="0" applyFont="1" applyBorder="1" applyAlignment="1" applyProtection="1">
      <alignment horizontal="center" vertical="top" wrapText="1"/>
    </xf>
    <xf numFmtId="0" fontId="3" fillId="0" borderId="4" xfId="0" applyFont="1" applyBorder="1" applyAlignment="1" applyProtection="1">
      <alignment horizontal="center" vertical="center" wrapText="1"/>
    </xf>
    <xf numFmtId="0" fontId="6" fillId="0" borderId="3" xfId="0" applyFont="1" applyBorder="1" applyAlignment="1" applyProtection="1">
      <alignment horizontal="center" vertical="center"/>
    </xf>
    <xf numFmtId="0" fontId="11" fillId="5" borderId="7" xfId="0" applyFont="1" applyFill="1" applyBorder="1" applyAlignment="1" applyProtection="1">
      <alignment horizontal="center" vertical="center" wrapText="1"/>
    </xf>
    <xf numFmtId="0" fontId="18" fillId="0" borderId="8" xfId="0" applyFont="1" applyBorder="1" applyAlignment="1" applyProtection="1">
      <alignment horizontal="left" indent="2"/>
    </xf>
    <xf numFmtId="0" fontId="18" fillId="0" borderId="1" xfId="0" applyFont="1" applyBorder="1" applyAlignment="1" applyProtection="1">
      <alignment horizontal="center"/>
    </xf>
    <xf numFmtId="0" fontId="11" fillId="0" borderId="0" xfId="0" applyFont="1" applyProtection="1"/>
    <xf numFmtId="0" fontId="0" fillId="0" borderId="0" xfId="0" applyAlignment="1" applyProtection="1">
      <alignment horizontal="center"/>
    </xf>
    <xf numFmtId="0" fontId="26" fillId="5" borderId="7" xfId="0" applyFont="1" applyFill="1" applyBorder="1" applyAlignment="1" applyProtection="1">
      <alignment horizontal="center" vertical="center" wrapText="1"/>
    </xf>
    <xf numFmtId="0" fontId="11" fillId="5" borderId="0" xfId="0" applyFont="1" applyFill="1" applyProtection="1"/>
    <xf numFmtId="0" fontId="10" fillId="4" borderId="1" xfId="0" applyFont="1" applyFill="1" applyBorder="1" applyAlignment="1" applyProtection="1">
      <alignment horizontal="center" vertical="center" wrapText="1"/>
    </xf>
    <xf numFmtId="0" fontId="18" fillId="0" borderId="7" xfId="0" applyFont="1" applyBorder="1" applyProtection="1"/>
    <xf numFmtId="0" fontId="19" fillId="0" borderId="1" xfId="0" applyFont="1" applyBorder="1" applyAlignment="1" applyProtection="1">
      <alignment horizontal="center" vertical="top" wrapText="1"/>
    </xf>
    <xf numFmtId="0" fontId="20" fillId="0" borderId="1" xfId="0" applyFont="1" applyBorder="1" applyProtection="1"/>
    <xf numFmtId="0" fontId="13" fillId="0" borderId="0" xfId="0" applyFont="1" applyProtection="1"/>
    <xf numFmtId="0" fontId="12" fillId="0" borderId="0" xfId="0" applyFont="1" applyProtection="1"/>
    <xf numFmtId="0" fontId="21" fillId="0" borderId="0" xfId="0" applyFont="1" applyProtection="1"/>
    <xf numFmtId="0" fontId="22" fillId="0" borderId="9" xfId="0" applyFont="1" applyBorder="1" applyProtection="1"/>
    <xf numFmtId="0" fontId="0" fillId="0" borderId="9" xfId="0" applyBorder="1" applyProtection="1"/>
    <xf numFmtId="0" fontId="23" fillId="0" borderId="0" xfId="0" applyFont="1" applyAlignment="1" applyProtection="1">
      <alignment horizontal="left" vertical="top" wrapText="1" indent="1"/>
    </xf>
    <xf numFmtId="0" fontId="28" fillId="0" borderId="0" xfId="0" applyFont="1" applyAlignment="1" applyProtection="1">
      <alignment horizontal="left" vertical="center" indent="1"/>
    </xf>
    <xf numFmtId="0" fontId="24" fillId="0" borderId="0" xfId="0" applyFont="1" applyAlignment="1" applyProtection="1">
      <alignment horizontal="left" vertical="top" wrapText="1" indent="1"/>
    </xf>
    <xf numFmtId="0" fontId="30" fillId="0" borderId="0" xfId="0" applyFont="1" applyAlignment="1" applyProtection="1">
      <alignment horizontal="left" vertical="top" wrapText="1" indent="1"/>
    </xf>
    <xf numFmtId="0" fontId="25" fillId="0" borderId="0" xfId="0" applyFont="1" applyAlignment="1" applyProtection="1">
      <alignment horizontal="left" vertical="top" wrapText="1" indent="1"/>
    </xf>
    <xf numFmtId="0" fontId="31" fillId="0" borderId="0" xfId="0" applyFont="1" applyProtection="1"/>
    <xf numFmtId="0" fontId="14" fillId="0" borderId="0" xfId="0" applyFont="1" applyAlignment="1" applyProtection="1">
      <alignment horizontal="left" vertical="top" wrapText="1" indent="1"/>
    </xf>
    <xf numFmtId="0" fontId="15" fillId="6" borderId="0" xfId="0" applyFont="1" applyFill="1" applyAlignment="1" applyProtection="1">
      <alignment horizontal="left" vertical="center" wrapText="1" indent="1"/>
    </xf>
    <xf numFmtId="0" fontId="16" fillId="7" borderId="0" xfId="0" applyFont="1" applyFill="1" applyAlignment="1" applyProtection="1">
      <alignment horizontal="left" vertical="center" indent="1"/>
    </xf>
    <xf numFmtId="0" fontId="14" fillId="0" borderId="0" xfId="0" applyFont="1" applyAlignment="1" applyProtection="1">
      <alignment horizontal="left" vertical="top" wrapText="1" indent="2"/>
    </xf>
    <xf numFmtId="0" fontId="15" fillId="6" borderId="0" xfId="0" quotePrefix="1" applyFont="1" applyFill="1" applyAlignment="1" applyProtection="1">
      <alignment horizontal="left" vertical="center" wrapText="1" indent="1"/>
    </xf>
    <xf numFmtId="0" fontId="17" fillId="0" borderId="0" xfId="0" applyFont="1" applyProtection="1"/>
    <xf numFmtId="0" fontId="32" fillId="0" borderId="0" xfId="0" applyFont="1" applyProtection="1"/>
    <xf numFmtId="0" fontId="33" fillId="9" borderId="4" xfId="0" applyFont="1" applyFill="1" applyBorder="1" applyAlignment="1" applyProtection="1">
      <alignment horizontal="center" vertical="center"/>
    </xf>
    <xf numFmtId="0" fontId="33" fillId="9" borderId="14" xfId="0" applyFont="1" applyFill="1" applyBorder="1" applyAlignment="1" applyProtection="1">
      <alignment horizontal="center" vertical="center"/>
    </xf>
  </cellXfs>
  <cellStyles count="1">
    <cellStyle name="Standard" xfId="0" builtinId="0"/>
  </cellStyles>
  <dxfs count="8">
    <dxf>
      <font>
        <b/>
        <i/>
        <u val="none"/>
        <color rgb="FF4B537D"/>
      </font>
    </dxf>
    <dxf>
      <font>
        <b/>
        <i/>
        <color rgb="FFB58307"/>
      </font>
    </dxf>
    <dxf>
      <font>
        <b val="0"/>
        <i/>
      </font>
      <fill>
        <patternFill>
          <bgColor rgb="FFEFE4D5"/>
        </patternFill>
      </fill>
    </dxf>
    <dxf>
      <fill>
        <patternFill>
          <bgColor rgb="FFD9D2E9"/>
        </patternFill>
      </fill>
    </dxf>
    <dxf>
      <font>
        <b/>
        <i val="0"/>
        <color theme="0"/>
      </font>
      <fill>
        <patternFill>
          <bgColor theme="5" tint="-0.499984740745262"/>
        </patternFill>
      </fill>
    </dxf>
    <dxf>
      <fill>
        <patternFill>
          <bgColor rgb="FFCACFFA"/>
        </patternFill>
      </fill>
    </dxf>
    <dxf>
      <fill>
        <patternFill>
          <bgColor rgb="FFC4E3F2"/>
        </patternFill>
      </fill>
    </dxf>
    <dxf>
      <font>
        <strike val="0"/>
        <u/>
        <color theme="1" tint="0.34998626667073579"/>
      </font>
      <fill>
        <patternFill>
          <bgColor theme="6" tint="0.59996337778862885"/>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CE4D6"/>
      <rgbColor rgb="FFDDEBF7"/>
      <rgbColor rgb="FF660066"/>
      <rgbColor rgb="FFFF8080"/>
      <rgbColor rgb="FF0066CC"/>
      <rgbColor rgb="FFD9D2E9"/>
      <rgbColor rgb="FF000080"/>
      <rgbColor rgb="FFFF00FF"/>
      <rgbColor rgb="FFFFFF00"/>
      <rgbColor rgb="FF00FFFF"/>
      <rgbColor rgb="FF800080"/>
      <rgbColor rgb="FF800000"/>
      <rgbColor rgb="FF008080"/>
      <rgbColor rgb="FF0000FF"/>
      <rgbColor rgb="FF00CCFF"/>
      <rgbColor rgb="FFEAF1F8"/>
      <rgbColor rgb="FFC6E0B4"/>
      <rgbColor rgb="FFFFFF99"/>
      <rgbColor rgb="FFBDD7EE"/>
      <rgbColor rgb="FFFF99CC"/>
      <rgbColor rgb="FFCC99FF"/>
      <rgbColor rgb="FFF8CBAD"/>
      <rgbColor rgb="FF3366FF"/>
      <rgbColor rgb="FF33CCCC"/>
      <rgbColor rgb="FF99CC00"/>
      <rgbColor rgb="FFFFCC00"/>
      <rgbColor rgb="FFFF9900"/>
      <rgbColor rgb="FFFF6600"/>
      <rgbColor rgb="FF555555"/>
      <rgbColor rgb="FF969696"/>
      <rgbColor rgb="FF003366"/>
      <rgbColor rgb="FF339966"/>
      <rgbColor rgb="FF003300"/>
      <rgbColor rgb="FF333300"/>
      <rgbColor rgb="FF993300"/>
      <rgbColor rgb="FF993366"/>
      <rgbColor rgb="FF16507E"/>
      <rgbColor rgb="FF333333"/>
      <rgbColor rgb="00003366"/>
      <rgbColor rgb="00339966"/>
      <rgbColor rgb="00003300"/>
      <rgbColor rgb="00333300"/>
      <rgbColor rgb="00993300"/>
      <rgbColor rgb="00993366"/>
      <rgbColor rgb="00333399"/>
      <rgbColor rgb="00333333"/>
    </indexedColors>
    <mruColors>
      <color rgb="FFE5DBE1"/>
      <color rgb="FFF6EFE6"/>
      <color rgb="FFCEBAC7"/>
      <color rgb="FFEFE4D5"/>
      <color rgb="FFC4E3F2"/>
      <color rgb="FF82A5F2"/>
      <color rgb="FF687398"/>
      <color rgb="FF9E79E1"/>
      <color rgb="FF2C1458"/>
      <color rgb="FF2B2F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7</xdr:row>
      <xdr:rowOff>25400</xdr:rowOff>
    </xdr:from>
    <xdr:to>
      <xdr:col>1</xdr:col>
      <xdr:colOff>2130425</xdr:colOff>
      <xdr:row>7</xdr:row>
      <xdr:rowOff>609600</xdr:rowOff>
    </xdr:to>
    <xdr:sp macro="modKalender.UW_Und_Ferien_Generieren" textlink="">
      <xdr:nvSpPr>
        <xdr:cNvPr id="16" name="stBtn_8" descr="Wochenplan neu aufbauen">
          <a:extLst>
            <a:ext uri="{FF2B5EF4-FFF2-40B4-BE49-F238E27FC236}">
              <a16:creationId xmlns:a16="http://schemas.microsoft.com/office/drawing/2014/main" id="{C7517A91-51D5-D161-B1E7-A1FCD98CD514}"/>
            </a:ext>
          </a:extLst>
        </xdr:cNvPr>
        <xdr:cNvSpPr/>
      </xdr:nvSpPr>
      <xdr:spPr>
        <a:xfrm>
          <a:off x="273050" y="1835150"/>
          <a:ext cx="2105025" cy="584200"/>
        </a:xfrm>
        <a:prstGeom prst="roundRect">
          <a:avLst/>
        </a:prstGeom>
        <a:solidFill>
          <a:srgbClr val="DBEDDE"/>
        </a:solidFill>
        <a:ln w="1587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Wochenplan neu aufbauen</a:t>
          </a:r>
        </a:p>
      </xdr:txBody>
    </xdr:sp>
    <xdr:clientData/>
  </xdr:twoCellAnchor>
  <xdr:twoCellAnchor editAs="oneCell">
    <xdr:from>
      <xdr:col>1</xdr:col>
      <xdr:colOff>25400</xdr:colOff>
      <xdr:row>9</xdr:row>
      <xdr:rowOff>25400</xdr:rowOff>
    </xdr:from>
    <xdr:to>
      <xdr:col>1</xdr:col>
      <xdr:colOff>2130425</xdr:colOff>
      <xdr:row>9</xdr:row>
      <xdr:rowOff>609600</xdr:rowOff>
    </xdr:to>
    <xdr:sp macro="modSteuerung.Plan_Fixieren" textlink="">
      <xdr:nvSpPr>
        <xdr:cNvPr id="17" name="stBtn_10" descr="Stoffverteilungsplan fixieren">
          <a:extLst>
            <a:ext uri="{FF2B5EF4-FFF2-40B4-BE49-F238E27FC236}">
              <a16:creationId xmlns:a16="http://schemas.microsoft.com/office/drawing/2014/main" id="{C5F11D16-0EEC-5CD8-DBDA-11FC75ED8243}"/>
            </a:ext>
          </a:extLst>
        </xdr:cNvPr>
        <xdr:cNvSpPr/>
      </xdr:nvSpPr>
      <xdr:spPr>
        <a:xfrm>
          <a:off x="273050" y="3597275"/>
          <a:ext cx="2105025" cy="584200"/>
        </a:xfrm>
        <a:prstGeom prst="roundRect">
          <a:avLst/>
        </a:prstGeom>
        <a:solidFill>
          <a:srgbClr val="FCF0D6"/>
        </a:solidFill>
        <a:ln w="15875">
          <a:solidFill>
            <a:srgbClr val="BF942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48505D"/>
              </a:solidFill>
            </a:rPr>
            <a:t>Stoffverteilungsplan fixieren</a:t>
          </a:r>
        </a:p>
      </xdr:txBody>
    </xdr:sp>
    <xdr:clientData/>
  </xdr:twoCellAnchor>
  <xdr:twoCellAnchor editAs="oneCell">
    <xdr:from>
      <xdr:col>1</xdr:col>
      <xdr:colOff>25400</xdr:colOff>
      <xdr:row>11</xdr:row>
      <xdr:rowOff>25400</xdr:rowOff>
    </xdr:from>
    <xdr:to>
      <xdr:col>1</xdr:col>
      <xdr:colOff>2130425</xdr:colOff>
      <xdr:row>11</xdr:row>
      <xdr:rowOff>609600</xdr:rowOff>
    </xdr:to>
    <xdr:sp macro="modSteuerung.Fixierung_Aufheben" textlink="">
      <xdr:nvSpPr>
        <xdr:cNvPr id="18" name="stBtn_12" descr="Fixierung aufheben">
          <a:extLst>
            <a:ext uri="{FF2B5EF4-FFF2-40B4-BE49-F238E27FC236}">
              <a16:creationId xmlns:a16="http://schemas.microsoft.com/office/drawing/2014/main" id="{CE54697E-0F01-6547-CB0A-6041A442605F}"/>
            </a:ext>
          </a:extLst>
        </xdr:cNvPr>
        <xdr:cNvSpPr/>
      </xdr:nvSpPr>
      <xdr:spPr>
        <a:xfrm>
          <a:off x="273050" y="4673600"/>
          <a:ext cx="2105025" cy="584200"/>
        </a:xfrm>
        <a:prstGeom prst="roundRect">
          <a:avLst/>
        </a:prstGeom>
        <a:solidFill>
          <a:srgbClr val="F0F2F5"/>
        </a:solidFill>
        <a:ln w="15875">
          <a:solidFill>
            <a:srgbClr val="CDD2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A8B0BC"/>
              </a:solidFill>
            </a:rPr>
            <a:t>Fixierung aufheben</a:t>
          </a:r>
        </a:p>
      </xdr:txBody>
    </xdr:sp>
    <xdr:clientData/>
  </xdr:twoCellAnchor>
  <xdr:twoCellAnchor editAs="oneCell">
    <xdr:from>
      <xdr:col>1</xdr:col>
      <xdr:colOff>25400</xdr:colOff>
      <xdr:row>13</xdr:row>
      <xdr:rowOff>25400</xdr:rowOff>
    </xdr:from>
    <xdr:to>
      <xdr:col>1</xdr:col>
      <xdr:colOff>2130425</xdr:colOff>
      <xdr:row>13</xdr:row>
      <xdr:rowOff>609600</xdr:rowOff>
    </xdr:to>
    <xdr:sp macro="modKopf.PDF_Export" textlink="">
      <xdr:nvSpPr>
        <xdr:cNvPr id="19" name="stBtn_14" descr="Als PDF exportieren">
          <a:extLst>
            <a:ext uri="{FF2B5EF4-FFF2-40B4-BE49-F238E27FC236}">
              <a16:creationId xmlns:a16="http://schemas.microsoft.com/office/drawing/2014/main" id="{D22E1441-39D0-0CE6-B526-8A09AE50583C}"/>
            </a:ext>
          </a:extLst>
        </xdr:cNvPr>
        <xdr:cNvSpPr/>
      </xdr:nvSpPr>
      <xdr:spPr>
        <a:xfrm>
          <a:off x="273050" y="5454650"/>
          <a:ext cx="2105025" cy="584200"/>
        </a:xfrm>
        <a:prstGeom prst="roundRect">
          <a:avLst/>
        </a:prstGeom>
        <a:solidFill>
          <a:srgbClr val="DBE5F5"/>
        </a:solidFill>
        <a:ln w="15875">
          <a:solidFill>
            <a:srgbClr val="5476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Als PDF exportieren</a:t>
          </a:r>
        </a:p>
      </xdr:txBody>
    </xdr:sp>
    <xdr:clientData/>
  </xdr:twoCellAnchor>
  <xdr:twoCellAnchor editAs="oneCell">
    <xdr:from>
      <xdr:col>1</xdr:col>
      <xdr:colOff>25400</xdr:colOff>
      <xdr:row>19</xdr:row>
      <xdr:rowOff>25400</xdr:rowOff>
    </xdr:from>
    <xdr:to>
      <xdr:col>1</xdr:col>
      <xdr:colOff>2130425</xdr:colOff>
      <xdr:row>19</xdr:row>
      <xdr:rowOff>609600</xdr:rowOff>
    </xdr:to>
    <xdr:sp macro="modUebernahme.Daten_Uebernehmen" textlink="">
      <xdr:nvSpPr>
        <xdr:cNvPr id="20" name="stBtn_20" descr="Daten importieren">
          <a:extLst>
            <a:ext uri="{FF2B5EF4-FFF2-40B4-BE49-F238E27FC236}">
              <a16:creationId xmlns:a16="http://schemas.microsoft.com/office/drawing/2014/main" id="{C564AA5D-F532-26DB-0E87-E06DA8352E24}"/>
            </a:ext>
          </a:extLst>
        </xdr:cNvPr>
        <xdr:cNvSpPr/>
      </xdr:nvSpPr>
      <xdr:spPr>
        <a:xfrm>
          <a:off x="273050" y="7559675"/>
          <a:ext cx="2105025" cy="584200"/>
        </a:xfrm>
        <a:prstGeom prst="roundRect">
          <a:avLst/>
        </a:prstGeom>
        <a:solidFill>
          <a:srgbClr val="E0EAF0"/>
        </a:solidFill>
        <a:ln w="15875">
          <a:solidFill>
            <a:srgbClr val="5A849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Daten importieren</a:t>
          </a:r>
        </a:p>
      </xdr:txBody>
    </xdr:sp>
    <xdr:clientData/>
  </xdr:twoCellAnchor>
  <xdr:twoCellAnchor editAs="oneCell">
    <xdr:from>
      <xdr:col>1</xdr:col>
      <xdr:colOff>25400</xdr:colOff>
      <xdr:row>23</xdr:row>
      <xdr:rowOff>25400</xdr:rowOff>
    </xdr:from>
    <xdr:to>
      <xdr:col>1</xdr:col>
      <xdr:colOff>2130425</xdr:colOff>
      <xdr:row>23</xdr:row>
      <xdr:rowOff>355600</xdr:rowOff>
    </xdr:to>
    <xdr:sp macro="modSteuerung.Einrichtung_Reparatur" textlink="">
      <xdr:nvSpPr>
        <xdr:cNvPr id="21" name="stBtn_24" descr="Einrichtung / Reparatur">
          <a:extLst>
            <a:ext uri="{FF2B5EF4-FFF2-40B4-BE49-F238E27FC236}">
              <a16:creationId xmlns:a16="http://schemas.microsoft.com/office/drawing/2014/main" id="{3F0AB5AA-AAAD-DDB2-62A1-8ADCA35C5F56}"/>
            </a:ext>
          </a:extLst>
        </xdr:cNvPr>
        <xdr:cNvSpPr/>
      </xdr:nvSpPr>
      <xdr:spPr>
        <a:xfrm>
          <a:off x="273050" y="9436100"/>
          <a:ext cx="2105025" cy="330200"/>
        </a:xfrm>
        <a:prstGeom prst="roundRect">
          <a:avLst/>
        </a:prstGeom>
        <a:solidFill>
          <a:srgbClr val="E8ECF2"/>
        </a:solidFill>
        <a:ln w="9525">
          <a:solidFill>
            <a:srgbClr val="96A0B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Einrichtung / Reparatur</a:t>
          </a:r>
        </a:p>
      </xdr:txBody>
    </xdr:sp>
    <xdr:clientData/>
  </xdr:twoCellAnchor>
  <xdr:twoCellAnchor editAs="oneCell">
    <xdr:from>
      <xdr:col>1</xdr:col>
      <xdr:colOff>25400</xdr:colOff>
      <xdr:row>25</xdr:row>
      <xdr:rowOff>25400</xdr:rowOff>
    </xdr:from>
    <xdr:to>
      <xdr:col>1</xdr:col>
      <xdr:colOff>2130425</xdr:colOff>
      <xdr:row>25</xdr:row>
      <xdr:rowOff>355600</xdr:rowOff>
    </xdr:to>
    <xdr:sp macro="modSchutz.Blattschutz_Umschalten" textlink="">
      <xdr:nvSpPr>
        <xdr:cNvPr id="22" name="stBtn_26" descr="⚠ Blattschutz ein / aus">
          <a:extLst>
            <a:ext uri="{FF2B5EF4-FFF2-40B4-BE49-F238E27FC236}">
              <a16:creationId xmlns:a16="http://schemas.microsoft.com/office/drawing/2014/main" id="{2CE8049B-D3C8-471C-9EA6-1691EF1E97EC}"/>
            </a:ext>
          </a:extLst>
        </xdr:cNvPr>
        <xdr:cNvSpPr/>
      </xdr:nvSpPr>
      <xdr:spPr>
        <a:xfrm>
          <a:off x="273050" y="10426700"/>
          <a:ext cx="2105025" cy="330200"/>
        </a:xfrm>
        <a:prstGeom prst="roundRect">
          <a:avLst/>
        </a:prstGeom>
        <a:solidFill>
          <a:srgbClr val="FAE2E2"/>
        </a:solidFill>
        <a:ln w="9525">
          <a:solidFill>
            <a:srgbClr val="BA4A4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 Blattschutz ein / aus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127000</xdr:colOff>
      <xdr:row>0</xdr:row>
      <xdr:rowOff>50800</xdr:rowOff>
    </xdr:from>
    <xdr:to>
      <xdr:col>5</xdr:col>
      <xdr:colOff>111760</xdr:colOff>
      <xdr:row>0</xdr:row>
      <xdr:rowOff>381000</xdr:rowOff>
    </xdr:to>
    <xdr:pic>
      <xdr:nvPicPr>
        <xdr:cNvPr id="7" name="wpKopfLogo_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stretch>
          <a:fillRect/>
        </a:stretch>
      </xdr:blipFill>
      <xdr:spPr>
        <a:xfrm>
          <a:off x="346075" y="50800"/>
          <a:ext cx="2947035" cy="330200"/>
        </a:xfrm>
        <a:prstGeom prst="rect">
          <a:avLst/>
        </a:prstGeom>
      </xdr:spPr>
    </xdr:pic>
    <xdr:clientData/>
  </xdr:twoCellAnchor>
  <xdr:twoCellAnchor editAs="absolute">
    <xdr:from>
      <xdr:col>1</xdr:col>
      <xdr:colOff>50800</xdr:colOff>
      <xdr:row>0</xdr:row>
      <xdr:rowOff>50800</xdr:rowOff>
    </xdr:from>
    <xdr:to>
      <xdr:col>5</xdr:col>
      <xdr:colOff>287337</xdr:colOff>
      <xdr:row>0</xdr:row>
      <xdr:rowOff>381000</xdr:rowOff>
    </xdr:to>
    <xdr:pic>
      <xdr:nvPicPr>
        <xdr:cNvPr id="8" name="wpKopfLogo_2"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twoCellAnchor editAs="absolute">
    <xdr:from>
      <xdr:col>0</xdr:col>
      <xdr:colOff>26988</xdr:colOff>
      <xdr:row>9</xdr:row>
      <xdr:rowOff>352426</xdr:rowOff>
    </xdr:from>
    <xdr:to>
      <xdr:col>0</xdr:col>
      <xdr:colOff>192088</xdr:colOff>
      <xdr:row>9</xdr:row>
      <xdr:rowOff>476251</xdr:rowOff>
    </xdr:to>
    <xdr:sp macro="wpBtnUp_Click" textlink="">
      <xdr:nvSpPr>
        <xdr:cNvPr id="4" name="wpBtnUp" descr="4:4" hidden="1">
          <a:extLst>
            <a:ext uri="{FF2B5EF4-FFF2-40B4-BE49-F238E27FC236}">
              <a16:creationId xmlns:a16="http://schemas.microsoft.com/office/drawing/2014/main" id="{125C0F71-6710-1842-D0F0-41D4FED9BF7A}"/>
            </a:ext>
          </a:extLst>
        </xdr:cNvPr>
        <xdr:cNvSpPr>
          <a:spLocks/>
        </xdr:cNvSpPr>
      </xdr:nvSpPr>
      <xdr:spPr>
        <a:xfrm>
          <a:off x="26988" y="4162426"/>
          <a:ext cx="165100" cy="123825"/>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30163</xdr:rowOff>
    </xdr:from>
    <xdr:to>
      <xdr:col>0</xdr:col>
      <xdr:colOff>192088</xdr:colOff>
      <xdr:row>3</xdr:row>
      <xdr:rowOff>195263</xdr:rowOff>
    </xdr:to>
    <xdr:sp macro="wpBtnAdd_Click" textlink="">
      <xdr:nvSpPr>
        <xdr:cNvPr id="5" name="wpBtnAdd" descr="4:4">
          <a:extLst>
            <a:ext uri="{FF2B5EF4-FFF2-40B4-BE49-F238E27FC236}">
              <a16:creationId xmlns:a16="http://schemas.microsoft.com/office/drawing/2014/main" id="{4C182C7E-C89D-F37E-67A7-3C2F1FF221EE}"/>
            </a:ext>
          </a:extLst>
        </xdr:cNvPr>
        <xdr:cNvSpPr>
          <a:spLocks/>
        </xdr:cNvSpPr>
      </xdr:nvSpPr>
      <xdr:spPr>
        <a:xfrm>
          <a:off x="26988" y="1020763"/>
          <a:ext cx="165100" cy="165100"/>
        </a:xfrm>
        <a:prstGeom prst="mathDivid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207963</xdr:rowOff>
    </xdr:from>
    <xdr:to>
      <xdr:col>0</xdr:col>
      <xdr:colOff>192088</xdr:colOff>
      <xdr:row>3</xdr:row>
      <xdr:rowOff>373063</xdr:rowOff>
    </xdr:to>
    <xdr:sp macro="wpBtnDel_Click" textlink="">
      <xdr:nvSpPr>
        <xdr:cNvPr id="2" name="wpBtnDel" descr="4:4">
          <a:extLst>
            <a:ext uri="{FF2B5EF4-FFF2-40B4-BE49-F238E27FC236}">
              <a16:creationId xmlns:a16="http://schemas.microsoft.com/office/drawing/2014/main" id="{377E9B09-07F5-3A8F-4BCA-BBA8A37CE960}"/>
            </a:ext>
          </a:extLst>
        </xdr:cNvPr>
        <xdr:cNvSpPr>
          <a:spLocks/>
        </xdr:cNvSpPr>
      </xdr:nvSpPr>
      <xdr:spPr>
        <a:xfrm>
          <a:off x="26988" y="1198563"/>
          <a:ext cx="165100" cy="165100"/>
        </a:xfrm>
        <a:prstGeom prst="mathMinus">
          <a:avLst/>
        </a:prstGeom>
        <a:solidFill>
          <a:srgbClr val="F7DFDF"/>
        </a:solidFill>
        <a:ln w="9525">
          <a:solidFill>
            <a:srgbClr val="A86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344488</xdr:rowOff>
    </xdr:from>
    <xdr:to>
      <xdr:col>0</xdr:col>
      <xdr:colOff>192088</xdr:colOff>
      <xdr:row>3</xdr:row>
      <xdr:rowOff>509588</xdr:rowOff>
    </xdr:to>
    <xdr:sp macro="wpBtnDown_Click" textlink="">
      <xdr:nvSpPr>
        <xdr:cNvPr id="6" name="wpBtnDown" descr="4:4">
          <a:extLst>
            <a:ext uri="{FF2B5EF4-FFF2-40B4-BE49-F238E27FC236}">
              <a16:creationId xmlns:a16="http://schemas.microsoft.com/office/drawing/2014/main" id="{FB268F80-B6B9-8DC3-E901-5DE87EAA280F}"/>
            </a:ext>
          </a:extLst>
        </xdr:cNvPr>
        <xdr:cNvSpPr>
          <a:spLocks/>
        </xdr:cNvSpPr>
      </xdr:nvSpPr>
      <xdr:spPr>
        <a:xfrm rot="10800000">
          <a:off x="26988" y="1335088"/>
          <a:ext cx="165100" cy="165100"/>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127000</xdr:colOff>
      <xdr:row>0</xdr:row>
      <xdr:rowOff>50800</xdr:rowOff>
    </xdr:from>
    <xdr:to>
      <xdr:col>2</xdr:col>
      <xdr:colOff>740410</xdr:colOff>
      <xdr:row>0</xdr:row>
      <xdr:rowOff>381000</xdr:rowOff>
    </xdr:to>
    <xdr:pic>
      <xdr:nvPicPr>
        <xdr:cNvPr id="2" name="wpKopfLogo_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27000" y="50800"/>
          <a:ext cx="2947035" cy="330200"/>
        </a:xfrm>
        <a:prstGeom prst="rect">
          <a:avLst/>
        </a:prstGeom>
      </xdr:spPr>
    </xdr:pic>
    <xdr:clientData/>
  </xdr:twoCellAnchor>
  <xdr:twoCellAnchor editAs="absolute">
    <xdr:from>
      <xdr:col>0</xdr:col>
      <xdr:colOff>50800</xdr:colOff>
      <xdr:row>0</xdr:row>
      <xdr:rowOff>50800</xdr:rowOff>
    </xdr:from>
    <xdr:to>
      <xdr:col>2</xdr:col>
      <xdr:colOff>915987</xdr:colOff>
      <xdr:row>0</xdr:row>
      <xdr:rowOff>381000</xdr:rowOff>
    </xdr:to>
    <xdr:pic>
      <xdr:nvPicPr>
        <xdr:cNvPr id="3" name="wpKopfLogo_2" hidden="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12700</xdr:colOff>
      <xdr:row>12</xdr:row>
      <xdr:rowOff>12700</xdr:rowOff>
    </xdr:from>
    <xdr:to>
      <xdr:col>10</xdr:col>
      <xdr:colOff>1635125</xdr:colOff>
      <xdr:row>12</xdr:row>
      <xdr:rowOff>263525</xdr:rowOff>
    </xdr:to>
    <xdr:sp macro="modKalender.Ferien_Aus_Kalender_Vorschlagen" textlink="">
      <xdr:nvSpPr>
        <xdr:cNvPr id="6" name="esBtnFerien" descr="Ferien aus Kalender vorschlagen">
          <a:extLst>
            <a:ext uri="{FF2B5EF4-FFF2-40B4-BE49-F238E27FC236}">
              <a16:creationId xmlns:a16="http://schemas.microsoft.com/office/drawing/2014/main" id="{26C2AED0-79E4-1A6F-7E59-B72B42DAE864}"/>
            </a:ext>
          </a:extLst>
        </xdr:cNvPr>
        <xdr:cNvSpPr/>
      </xdr:nvSpPr>
      <xdr:spPr>
        <a:xfrm>
          <a:off x="9423400" y="3127375"/>
          <a:ext cx="3394075"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Ferien aus Kalender vorschlagen</a:t>
          </a:r>
        </a:p>
      </xdr:txBody>
    </xdr:sp>
    <xdr:clientData/>
  </xdr:twoCellAnchor>
  <xdr:twoCellAnchor>
    <xdr:from>
      <xdr:col>0</xdr:col>
      <xdr:colOff>12700</xdr:colOff>
      <xdr:row>11</xdr:row>
      <xdr:rowOff>12700</xdr:rowOff>
    </xdr:from>
    <xdr:to>
      <xdr:col>1</xdr:col>
      <xdr:colOff>2663825</xdr:colOff>
      <xdr:row>11</xdr:row>
      <xdr:rowOff>263525</xdr:rowOff>
    </xdr:to>
    <xdr:sp macro="modKopf.Kopf_Aktualisieren" textlink="">
      <xdr:nvSpPr>
        <xdr:cNvPr id="7" name="esBtnKopf" descr="Kopf übernehmen">
          <a:extLst>
            <a:ext uri="{FF2B5EF4-FFF2-40B4-BE49-F238E27FC236}">
              <a16:creationId xmlns:a16="http://schemas.microsoft.com/office/drawing/2014/main" id="{AA3F6E71-53D8-C7FA-C7A5-1703FFA5E7F3}"/>
            </a:ext>
          </a:extLst>
        </xdr:cNvPr>
        <xdr:cNvSpPr/>
      </xdr:nvSpPr>
      <xdr:spPr>
        <a:xfrm>
          <a:off x="12700" y="2851150"/>
          <a:ext cx="4832350"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Kopf übernehmen</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5A66-EAC8-4306-B82E-7D827C885D8A}">
  <sheetPr codeName="Tabelle4"/>
  <dimension ref="B1:C32"/>
  <sheetViews>
    <sheetView showGridLines="0" workbookViewId="0">
      <selection activeCell="B2" sqref="B2"/>
    </sheetView>
  </sheetViews>
  <sheetFormatPr baseColWidth="10" defaultRowHeight="15" x14ac:dyDescent="0.25"/>
  <cols>
    <col min="1" max="1" width="3.7109375" style="26" customWidth="1"/>
    <col min="2" max="2" width="32.7109375" style="26" customWidth="1"/>
    <col min="3" max="3" width="86.7109375" style="26" customWidth="1"/>
    <col min="4" max="16384" width="11.42578125" style="26"/>
  </cols>
  <sheetData>
    <row r="1" spans="2:3" ht="14.1" customHeight="1" x14ac:dyDescent="0.25"/>
    <row r="2" spans="2:3" ht="30" customHeight="1" x14ac:dyDescent="0.4">
      <c r="B2" s="49" t="s">
        <v>68</v>
      </c>
    </row>
    <row r="3" spans="2:3" x14ac:dyDescent="0.25">
      <c r="B3" s="50" t="s">
        <v>69</v>
      </c>
    </row>
    <row r="4" spans="2:3" x14ac:dyDescent="0.25">
      <c r="B4" s="51" t="str">
        <f>"Referenz-Codes: "&amp;IF(LOWER(Einstellungen!B5)="ja","fixiert","offen - werden noch berechnet")</f>
        <v>Referenz-Codes: offen - werden noch berechnet</v>
      </c>
    </row>
    <row r="5" spans="2:3" x14ac:dyDescent="0.25">
      <c r="B5" s="51" t="s">
        <v>74</v>
      </c>
    </row>
    <row r="6" spans="2:3" ht="30" customHeight="1" x14ac:dyDescent="0.25"/>
    <row r="7" spans="2:3" ht="24" customHeight="1" x14ac:dyDescent="0.25">
      <c r="B7" s="52" t="s">
        <v>70</v>
      </c>
      <c r="C7" s="53"/>
    </row>
    <row r="8" spans="2:3" ht="129.6" customHeight="1" x14ac:dyDescent="0.25">
      <c r="C8" s="54" t="s">
        <v>82</v>
      </c>
    </row>
    <row r="9" spans="2:3" ht="9.9499999999999993" customHeight="1" x14ac:dyDescent="0.25"/>
    <row r="10" spans="2:3" ht="75.599999999999994" customHeight="1" x14ac:dyDescent="0.25">
      <c r="C10" s="54" t="s">
        <v>83</v>
      </c>
    </row>
    <row r="11" spans="2:3" ht="9.9499999999999993" customHeight="1" x14ac:dyDescent="0.25"/>
    <row r="12" spans="2:3" ht="51.95" customHeight="1" x14ac:dyDescent="0.25">
      <c r="C12" s="54" t="s">
        <v>84</v>
      </c>
    </row>
    <row r="13" spans="2:3" ht="9.9499999999999993" customHeight="1" x14ac:dyDescent="0.25"/>
    <row r="14" spans="2:3" ht="62.1" customHeight="1" x14ac:dyDescent="0.25">
      <c r="C14" s="54" t="s">
        <v>88</v>
      </c>
    </row>
    <row r="15" spans="2:3" ht="9.9499999999999993" customHeight="1" x14ac:dyDescent="0.25"/>
    <row r="16" spans="2:3" ht="20.100000000000001" customHeight="1" x14ac:dyDescent="0.25">
      <c r="B16" s="20" t="s">
        <v>81</v>
      </c>
      <c r="C16" s="55" t="s">
        <v>75</v>
      </c>
    </row>
    <row r="17" spans="2:3" ht="26.1" customHeight="1" x14ac:dyDescent="0.25"/>
    <row r="18" spans="2:3" ht="26.1" customHeight="1" x14ac:dyDescent="0.25"/>
    <row r="19" spans="2:3" ht="24" customHeight="1" x14ac:dyDescent="0.25">
      <c r="B19" s="52" t="s">
        <v>85</v>
      </c>
      <c r="C19" s="53"/>
    </row>
    <row r="20" spans="2:3" ht="89.1" customHeight="1" x14ac:dyDescent="0.25">
      <c r="C20" s="54" t="s">
        <v>89</v>
      </c>
    </row>
    <row r="21" spans="2:3" ht="9.9499999999999993" customHeight="1" x14ac:dyDescent="0.25"/>
    <row r="22" spans="2:3" ht="26.1" customHeight="1" x14ac:dyDescent="0.25"/>
    <row r="23" spans="2:3" ht="24" customHeight="1" x14ac:dyDescent="0.25">
      <c r="B23" s="52" t="s">
        <v>71</v>
      </c>
      <c r="C23" s="53"/>
    </row>
    <row r="24" spans="2:3" ht="68.849999999999994" customHeight="1" x14ac:dyDescent="0.25">
      <c r="C24" s="56" t="s">
        <v>86</v>
      </c>
    </row>
    <row r="25" spans="2:3" ht="9.9499999999999993" customHeight="1" x14ac:dyDescent="0.25"/>
    <row r="26" spans="2:3" ht="93" customHeight="1" x14ac:dyDescent="0.25">
      <c r="C26" s="57" t="s">
        <v>90</v>
      </c>
    </row>
    <row r="27" spans="2:3" ht="9.9499999999999993" customHeight="1" x14ac:dyDescent="0.25"/>
    <row r="28" spans="2:3" ht="26.1" customHeight="1" x14ac:dyDescent="0.25"/>
    <row r="29" spans="2:3" ht="27.95" customHeight="1" x14ac:dyDescent="0.25">
      <c r="B29" s="58" t="s">
        <v>87</v>
      </c>
      <c r="C29" s="58"/>
    </row>
    <row r="30" spans="2:3" ht="30" customHeight="1" x14ac:dyDescent="0.25"/>
    <row r="31" spans="2:3" ht="30" customHeight="1" x14ac:dyDescent="0.25"/>
    <row r="32" spans="2:3" ht="8.1" customHeight="1" x14ac:dyDescent="0.25"/>
  </sheetData>
  <sheetProtection algorithmName="SHA-512" hashValue="BXOEKU2Edk6YKPVUxHpvdfy9TUSYCpEgbfvb1atJkJTvQtMLMGVnl9KMrhBnzLAAJ0ICJCH8lOChKAYkHbIdNw==" saltValue="2Bu5XvYzbnbi2QTdboKhOw==" spinCount="100000" sheet="1" formatColumns="0" formatRows="0"/>
  <mergeCells count="1">
    <mergeCell ref="B29:C29"/>
  </mergeCells>
  <dataValidations count="1">
    <dataValidation type="list" showInputMessage="1" showErrorMessage="1" sqref="B16" xr:uid="{1E2410F2-C86B-49E6-ADFD-09FBF0F3E318}">
      <formula1>"DIN A4,DIN A3"</formula1>
    </dataValidation>
  </dataValidations>
  <pageMargins left="0.7" right="0.7" top="0.78740157499999996" bottom="0.78740157499999996"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V40"/>
  <sheetViews>
    <sheetView showGridLines="0" zoomScaleNormal="100" workbookViewId="0">
      <pane ySplit="3" topLeftCell="A4" activePane="bottomLeft" state="frozen"/>
      <selection pane="bottomLeft" activeCell="F4" sqref="F4"/>
    </sheetView>
  </sheetViews>
  <sheetFormatPr baseColWidth="10" defaultColWidth="8.7109375" defaultRowHeight="19.5" outlineLevelCol="1" x14ac:dyDescent="0.25"/>
  <cols>
    <col min="1" max="1" width="3.28515625" style="21" customWidth="1"/>
    <col min="2" max="2" width="16.42578125" style="26" customWidth="1"/>
    <col min="3" max="3" width="16" style="26" customWidth="1"/>
    <col min="4" max="5" width="6" style="26" customWidth="1"/>
    <col min="6" max="6" width="16.42578125" style="26" customWidth="1"/>
    <col min="7" max="7" width="34" style="26" customWidth="1"/>
    <col min="8" max="8" width="54" style="26" customWidth="1"/>
    <col min="9" max="9" width="28" style="26" customWidth="1"/>
    <col min="10" max="10" width="10" style="26" customWidth="1"/>
    <col min="11" max="11" width="18.42578125" style="26" customWidth="1"/>
    <col min="12" max="12" width="11.85546875" style="26" bestFit="1" customWidth="1"/>
    <col min="13" max="13" width="59.42578125" style="26" customWidth="1"/>
    <col min="14" max="14" width="4.140625" style="26" customWidth="1"/>
    <col min="15" max="15" width="8.7109375" style="26" customWidth="1"/>
    <col min="16" max="19" width="8.7109375" style="26" hidden="1" customWidth="1" outlineLevel="1"/>
    <col min="20" max="20" width="8.7109375" style="26" customWidth="1" collapsed="1"/>
    <col min="21" max="22" width="8.7109375" style="26" hidden="1" customWidth="1"/>
    <col min="23" max="16384" width="8.7109375" style="26"/>
  </cols>
  <sheetData>
    <row r="1" spans="1:22" ht="33.950000000000003" customHeight="1" thickBot="1" x14ac:dyDescent="0.3">
      <c r="B1" s="22"/>
      <c r="C1" s="23"/>
      <c r="D1" s="23"/>
      <c r="E1" s="23"/>
      <c r="F1" s="23"/>
      <c r="G1" s="24" t="s">
        <v>177</v>
      </c>
      <c r="H1" s="24"/>
      <c r="I1" s="24"/>
      <c r="J1" s="24"/>
      <c r="K1" s="24"/>
      <c r="L1" s="24"/>
      <c r="M1" s="25" t="s">
        <v>178</v>
      </c>
    </row>
    <row r="2" spans="1:22" ht="6" customHeight="1" x14ac:dyDescent="0.25">
      <c r="B2" s="27"/>
      <c r="C2" s="27"/>
      <c r="D2" s="27"/>
      <c r="E2" s="27"/>
      <c r="F2" s="27"/>
      <c r="G2" s="27"/>
      <c r="H2" s="27"/>
      <c r="I2" s="27"/>
      <c r="J2" s="27"/>
      <c r="K2" s="27"/>
      <c r="L2" s="27"/>
      <c r="M2" s="27"/>
    </row>
    <row r="3" spans="1:22" ht="38.25" customHeight="1" x14ac:dyDescent="0.25">
      <c r="B3" s="28" t="s">
        <v>30</v>
      </c>
      <c r="C3" s="28" t="s">
        <v>35</v>
      </c>
      <c r="D3" s="28" t="s">
        <v>0</v>
      </c>
      <c r="E3" s="29" t="s">
        <v>7</v>
      </c>
      <c r="F3" s="30" t="s">
        <v>37</v>
      </c>
      <c r="G3" s="30" t="s">
        <v>2</v>
      </c>
      <c r="H3" s="30" t="s">
        <v>3</v>
      </c>
      <c r="I3" s="30" t="s">
        <v>4</v>
      </c>
      <c r="J3" s="30" t="s">
        <v>5</v>
      </c>
      <c r="K3" s="30" t="s">
        <v>31</v>
      </c>
      <c r="L3" s="28" t="s">
        <v>47</v>
      </c>
      <c r="M3" s="31" t="s">
        <v>6</v>
      </c>
      <c r="O3" s="32" t="str">
        <f>IF(COUNTIF(P4:S40,"!"),"Warnungen","")</f>
        <v/>
      </c>
      <c r="P3" s="33" t="s">
        <v>41</v>
      </c>
      <c r="Q3" s="34" t="s">
        <v>36</v>
      </c>
      <c r="R3" s="34" t="s">
        <v>43</v>
      </c>
      <c r="S3" s="34" t="s">
        <v>42</v>
      </c>
    </row>
    <row r="4" spans="1:22" ht="45.75" customHeight="1" x14ac:dyDescent="0.25">
      <c r="A4" s="21" t="str">
        <f t="shared" ref="A4:A7" si="0">IF($E4="","",IF(COUNTIF(P4:S4,"!"),"!",""))</f>
        <v/>
      </c>
      <c r="B4" s="35" t="str">
        <f>IF($F4="","",$F4&amp;"-"&amp;TEXT(COUNTA($F$4:$F4),"00"))</f>
        <v>M10.1-01</v>
      </c>
      <c r="C4" s="35" t="str">
        <f>IF($V4=0,"",TEXT(INDEX(Einstellungen!$B$15:$B$52,$V4),"TT.MM")&amp;" - "&amp;TEXT(INDEX(Einstellungen!$C$15:$C$52,$V4),"TT.MM"))</f>
        <v>05.10 - 11.10</v>
      </c>
      <c r="D4" s="35">
        <f>IF($V4=0,"",_xlfn.ISOWEEKNUM(DATE(IF(MONTH(INDEX(Einstellungen!$B$15:$B$52,$V4))&gt;=9,Einstellungen!$B$1,Einstellungen!$B$1+1),MONTH(INDEX(Einstellungen!$B$15:$B$52,$V4)),DAY(INDEX(Einstellungen!$B$15:$B$52,$V4)))))</f>
        <v>41</v>
      </c>
      <c r="E4" s="1">
        <v>4</v>
      </c>
      <c r="F4" s="2" t="s">
        <v>161</v>
      </c>
      <c r="G4" s="3" t="s">
        <v>162</v>
      </c>
      <c r="H4" s="4" t="s">
        <v>172</v>
      </c>
      <c r="I4" s="4" t="s">
        <v>173</v>
      </c>
      <c r="J4" s="5" t="b">
        <v>0</v>
      </c>
      <c r="K4" s="6" t="s">
        <v>8</v>
      </c>
      <c r="L4" s="36" t="str">
        <f>IF($V4=0,"",IF(AND(INDEX(Einstellungen!$E$15:$E$52,$V4),INDEX(Einstellungen!$F$15:$F$52,$V4)),"1/2 Woche"&amp;CHAR(10)&amp;"1/2 Klasse",IF(INDEX(Einstellungen!$E$15:$E$52,$V4),"1/2 Woche",IF(INDEX(Einstellungen!$F$15:$F$52,$V4),"1/2 Klasse",""))))</f>
        <v/>
      </c>
      <c r="M4" s="7"/>
      <c r="P4" s="37" t="str">
        <f>IF(OR($V4=0,$E4&gt;Einstellungen!$B$3),"",IF(INDEX(Einstellungen!$D$15:$D$52,$V4),"","!"))</f>
        <v/>
      </c>
      <c r="Q4" s="37" t="str">
        <f t="shared" ref="Q4:Q7" si="1">IF($E4="","",IF(OR($U4=$F4,_xlfn.REGEXTEST($F4,"P$")),"","!"))</f>
        <v/>
      </c>
      <c r="R4" s="37" t="str">
        <f>IF($E4="","",IF($E4&lt;=Einstellungen!$B$3,"","!"))</f>
        <v/>
      </c>
      <c r="S4" s="37"/>
      <c r="U4" s="26" t="str" cm="1">
        <f t="array" ref="U4">IFERROR(INDEX(_xlfn._xlws.FILTER(Lernbereiche!$A$4:$A$52,(Lernbereiche!$B$4:$B$52&lt;=$E4)*(Lernbereiche!$C$4:$C$52&gt;=$E4),""),1),"")</f>
        <v>M10.1</v>
      </c>
      <c r="V4" s="26">
        <f>IFERROR(MATCH($E4,Einstellungen!$A$15:$A$52,0),0)</f>
        <v>4</v>
      </c>
    </row>
    <row r="5" spans="1:22" ht="45.75" customHeight="1" x14ac:dyDescent="0.25">
      <c r="A5" s="21" t="str">
        <f t="shared" si="0"/>
        <v/>
      </c>
      <c r="B5" s="35" t="str">
        <f>IF($F5="","",$F5&amp;"-"&amp;TEXT(COUNTA($F$4:$F5),"00"))</f>
        <v>M10.1-02</v>
      </c>
      <c r="C5" s="35" t="str">
        <f>IF($V5=0,"",TEXT(INDEX(Einstellungen!$B$15:$B$52,$V5),"TT.MM")&amp;" - "&amp;TEXT(INDEX(Einstellungen!$C$15:$C$52,$V5),"TT.MM"))</f>
        <v>12.10 - 18.10</v>
      </c>
      <c r="D5" s="35">
        <f>IF($V5=0,"",_xlfn.ISOWEEKNUM(DATE(IF(MONTH(INDEX(Einstellungen!$B$15:$B$52,$V5))&gt;=9,Einstellungen!$B$1,Einstellungen!$B$1+1),MONTH(INDEX(Einstellungen!$B$15:$B$52,$V5)),DAY(INDEX(Einstellungen!$B$15:$B$52,$V5)))))</f>
        <v>42</v>
      </c>
      <c r="E5" s="1">
        <v>5</v>
      </c>
      <c r="F5" s="2" t="s">
        <v>161</v>
      </c>
      <c r="G5" s="3" t="s">
        <v>162</v>
      </c>
      <c r="H5" s="4" t="s">
        <v>172</v>
      </c>
      <c r="I5" s="4" t="s">
        <v>173</v>
      </c>
      <c r="J5" s="5" t="b">
        <v>0</v>
      </c>
      <c r="K5" s="6" t="s">
        <v>8</v>
      </c>
      <c r="L5" s="36" t="str">
        <f>IF($V5=0,"",IF(AND(INDEX(Einstellungen!$E$15:$E$52,$V5),INDEX(Einstellungen!$F$15:$F$52,$V5)),"1/2 Woche"&amp;CHAR(10)&amp;"1/2 Klasse",IF(INDEX(Einstellungen!$E$15:$E$52,$V5),"1/2 Woche",IF(INDEX(Einstellungen!$F$15:$F$52,$V5),"1/2 Klasse",""))))</f>
        <v/>
      </c>
      <c r="M5" s="7"/>
      <c r="P5" s="37" t="str">
        <f>IF(OR($V5=0,$E5&gt;Einstellungen!$B$3),"",IF(INDEX(Einstellungen!$D$15:$D$52,$V5),"","!"))</f>
        <v/>
      </c>
      <c r="Q5" s="37" t="str">
        <f t="shared" si="1"/>
        <v/>
      </c>
      <c r="R5" s="37" t="str">
        <f>IF($E5="","",IF($E5&lt;=Einstellungen!$B$3,"","!"))</f>
        <v/>
      </c>
      <c r="S5" s="37" t="str">
        <f t="shared" ref="S5:S7" si="2">IF($E5="","",IF($E5&gt;$E4,"","!"))</f>
        <v/>
      </c>
      <c r="U5" s="26" t="str" cm="1">
        <f t="array" ref="U5">IFERROR(INDEX(_xlfn._xlws.FILTER(Lernbereiche!$A$4:$A$52,(Lernbereiche!$B$4:$B$52&lt;=$E5)*(Lernbereiche!$C$4:$C$52&gt;=$E5),""),1),"")</f>
        <v>M10.1</v>
      </c>
      <c r="V5" s="26">
        <f>IFERROR(MATCH($E5,Einstellungen!$A$15:$A$52,0),0)</f>
        <v>5</v>
      </c>
    </row>
    <row r="6" spans="1:22" ht="45.75" customHeight="1" x14ac:dyDescent="0.25">
      <c r="A6" s="21" t="str">
        <f t="shared" si="0"/>
        <v/>
      </c>
      <c r="B6" s="35" t="str">
        <f>IF($F6="","",$F6&amp;"-"&amp;TEXT(COUNTA($F$4:$F6),"00"))</f>
        <v>M10.1-03</v>
      </c>
      <c r="C6" s="35" t="str">
        <f>IF($V6=0,"",TEXT(INDEX(Einstellungen!$B$15:$B$52,$V6),"TT.MM")&amp;" - "&amp;TEXT(INDEX(Einstellungen!$C$15:$C$52,$V6),"TT.MM"))</f>
        <v>19.10 - 25.10</v>
      </c>
      <c r="D6" s="35">
        <f>IF($V6=0,"",_xlfn.ISOWEEKNUM(DATE(IF(MONTH(INDEX(Einstellungen!$B$15:$B$52,$V6))&gt;=9,Einstellungen!$B$1,Einstellungen!$B$1+1),MONTH(INDEX(Einstellungen!$B$15:$B$52,$V6)),DAY(INDEX(Einstellungen!$B$15:$B$52,$V6)))))</f>
        <v>43</v>
      </c>
      <c r="E6" s="1">
        <v>6</v>
      </c>
      <c r="F6" s="2" t="s">
        <v>161</v>
      </c>
      <c r="G6" s="3" t="s">
        <v>162</v>
      </c>
      <c r="H6" s="4" t="s">
        <v>172</v>
      </c>
      <c r="I6" s="4" t="s">
        <v>173</v>
      </c>
      <c r="J6" s="5" t="b">
        <v>0</v>
      </c>
      <c r="K6" s="6" t="s">
        <v>8</v>
      </c>
      <c r="L6" s="36" t="str">
        <f>IF($V6=0,"",IF(AND(INDEX(Einstellungen!$E$15:$E$52,$V6),INDEX(Einstellungen!$F$15:$F$52,$V6)),"1/2 Woche"&amp;CHAR(10)&amp;"1/2 Klasse",IF(INDEX(Einstellungen!$E$15:$E$52,$V6),"1/2 Woche",IF(INDEX(Einstellungen!$F$15:$F$52,$V6),"1/2 Klasse",""))))</f>
        <v/>
      </c>
      <c r="M6" s="7"/>
      <c r="P6" s="37" t="str">
        <f>IF(OR($V6=0,$E6&gt;Einstellungen!$B$3),"",IF(INDEX(Einstellungen!$D$15:$D$52,$V6),"","!"))</f>
        <v/>
      </c>
      <c r="Q6" s="37" t="str">
        <f t="shared" si="1"/>
        <v/>
      </c>
      <c r="R6" s="37" t="str">
        <f>IF($E6="","",IF($E6&lt;=Einstellungen!$B$3,"","!"))</f>
        <v/>
      </c>
      <c r="S6" s="37" t="str">
        <f t="shared" si="2"/>
        <v/>
      </c>
      <c r="U6" s="26" t="str" cm="1">
        <f t="array" ref="U6">IFERROR(INDEX(_xlfn._xlws.FILTER(Lernbereiche!$A$4:$A$52,(Lernbereiche!$B$4:$B$52&lt;=$E6)*(Lernbereiche!$C$4:$C$52&gt;=$E6),""),1),"")</f>
        <v>M10.1</v>
      </c>
      <c r="V6" s="26">
        <f>IFERROR(MATCH($E6,Einstellungen!$A$15:$A$52,0),0)</f>
        <v>6</v>
      </c>
    </row>
    <row r="7" spans="1:22" ht="45.75" customHeight="1" x14ac:dyDescent="0.25">
      <c r="A7" s="21" t="str">
        <f t="shared" si="0"/>
        <v/>
      </c>
      <c r="B7" s="35" t="str">
        <f>IF($F7="","",$F7&amp;"-"&amp;TEXT(COUNTA($F$4:$F7),"00"))</f>
        <v>M10.1-04</v>
      </c>
      <c r="C7" s="35" t="str">
        <f>IF($V7=0,"",TEXT(INDEX(Einstellungen!$B$15:$B$52,$V7),"TT.MM")&amp;" - "&amp;TEXT(INDEX(Einstellungen!$C$15:$C$52,$V7),"TT.MM"))</f>
        <v>26.10 - 01.11</v>
      </c>
      <c r="D7" s="35">
        <f>IF($V7=0,"",_xlfn.ISOWEEKNUM(DATE(IF(MONTH(INDEX(Einstellungen!$B$15:$B$52,$V7))&gt;=9,Einstellungen!$B$1,Einstellungen!$B$1+1),MONTH(INDEX(Einstellungen!$B$15:$B$52,$V7)),DAY(INDEX(Einstellungen!$B$15:$B$52,$V7)))))</f>
        <v>44</v>
      </c>
      <c r="E7" s="1">
        <v>7</v>
      </c>
      <c r="F7" s="2" t="s">
        <v>161</v>
      </c>
      <c r="G7" s="3" t="s">
        <v>162</v>
      </c>
      <c r="H7" s="4" t="s">
        <v>172</v>
      </c>
      <c r="I7" s="4" t="s">
        <v>173</v>
      </c>
      <c r="J7" s="5" t="b">
        <v>0</v>
      </c>
      <c r="K7" s="6" t="s">
        <v>8</v>
      </c>
      <c r="L7" s="36" t="str">
        <f>IF($V7=0,"",IF(AND(INDEX(Einstellungen!$E$15:$E$52,$V7),INDEX(Einstellungen!$F$15:$F$52,$V7)),"1/2 Woche"&amp;CHAR(10)&amp;"1/2 Klasse",IF(INDEX(Einstellungen!$E$15:$E$52,$V7),"1/2 Woche",IF(INDEX(Einstellungen!$F$15:$F$52,$V7),"1/2 Klasse",""))))</f>
        <v/>
      </c>
      <c r="M7" s="7"/>
      <c r="P7" s="37" t="str">
        <f>IF(OR($V7=0,$E7&gt;Einstellungen!$B$3),"",IF(INDEX(Einstellungen!$D$15:$D$52,$V7),"","!"))</f>
        <v/>
      </c>
      <c r="Q7" s="37" t="str">
        <f t="shared" si="1"/>
        <v/>
      </c>
      <c r="R7" s="37" t="str">
        <f>IF($E7="","",IF($E7&lt;=Einstellungen!$B$3,"","!"))</f>
        <v/>
      </c>
      <c r="S7" s="37" t="str">
        <f t="shared" si="2"/>
        <v/>
      </c>
      <c r="U7" s="26" t="str" cm="1">
        <f t="array" ref="U7">IFERROR(INDEX(_xlfn._xlws.FILTER(Lernbereiche!$A$4:$A$52,(Lernbereiche!$B$4:$B$52&lt;=$E7)*(Lernbereiche!$C$4:$C$52&gt;=$E7),""),1),"")</f>
        <v>M10.1</v>
      </c>
      <c r="V7" s="26">
        <f>IFERROR(MATCH($E7,Einstellungen!$A$15:$A$52,0),0)</f>
        <v>7</v>
      </c>
    </row>
    <row r="8" spans="1:22" ht="19.5" customHeight="1" x14ac:dyDescent="0.25">
      <c r="B8" s="67" t="s">
        <v>185</v>
      </c>
      <c r="C8" s="68"/>
      <c r="D8" s="68"/>
      <c r="E8" s="68"/>
      <c r="F8" s="68"/>
      <c r="G8" s="68"/>
      <c r="H8" s="68"/>
      <c r="I8" s="68"/>
      <c r="J8" s="68"/>
      <c r="K8" s="68"/>
      <c r="L8" s="68"/>
      <c r="M8" s="68"/>
      <c r="N8" s="66" t="s">
        <v>179</v>
      </c>
      <c r="P8" s="37"/>
      <c r="Q8" s="37"/>
      <c r="R8" s="37"/>
      <c r="S8" s="37"/>
    </row>
    <row r="9" spans="1:22" ht="45.75" customHeight="1" x14ac:dyDescent="0.25">
      <c r="A9" s="21" t="str">
        <f t="shared" ref="A9:A12" si="3">IF($E9="","",IF(COUNTIF(P9:S9,"!"),"!",""))</f>
        <v/>
      </c>
      <c r="B9" s="35" t="str">
        <f>IF($F9="","",$F9&amp;"-"&amp;TEXT(COUNTA($F$4:$F9),"00"))</f>
        <v>M10.1-05</v>
      </c>
      <c r="C9" s="35" t="str">
        <f>IF($V9=0,"",TEXT(INDEX(Einstellungen!$B$15:$B$52,$V9),"TT.MM")&amp;" - "&amp;TEXT(INDEX(Einstellungen!$C$15:$C$52,$V9),"TT.MM"))</f>
        <v>09.11 - 15.11</v>
      </c>
      <c r="D9" s="35">
        <f>IF($V9=0,"",_xlfn.ISOWEEKNUM(DATE(IF(MONTH(INDEX(Einstellungen!$B$15:$B$52,$V9))&gt;=9,Einstellungen!$B$1,Einstellungen!$B$1+1),MONTH(INDEX(Einstellungen!$B$15:$B$52,$V9)),DAY(INDEX(Einstellungen!$B$15:$B$52,$V9)))))</f>
        <v>46</v>
      </c>
      <c r="E9" s="1">
        <v>8</v>
      </c>
      <c r="F9" s="2" t="s">
        <v>161</v>
      </c>
      <c r="G9" s="3" t="s">
        <v>162</v>
      </c>
      <c r="H9" s="4" t="s">
        <v>172</v>
      </c>
      <c r="I9" s="4" t="s">
        <v>173</v>
      </c>
      <c r="J9" s="5" t="b">
        <v>0</v>
      </c>
      <c r="K9" s="6" t="s">
        <v>29</v>
      </c>
      <c r="L9" s="36" t="str">
        <f>IF($V9=0,"",IF(AND(INDEX(Einstellungen!$E$15:$E$52,$V9),INDEX(Einstellungen!$F$15:$F$52,$V9)),"1/2 Woche"&amp;CHAR(10)&amp;"1/2 Klasse",IF(INDEX(Einstellungen!$E$15:$E$52,$V9),"1/2 Woche",IF(INDEX(Einstellungen!$F$15:$F$52,$V9),"1/2 Klasse",""))))</f>
        <v/>
      </c>
      <c r="M9" s="7"/>
      <c r="P9" s="37" t="str">
        <f>IF(OR($V9=0,$E9&gt;Einstellungen!$B$3),"",IF(INDEX(Einstellungen!$D$15:$D$52,$V9),"","!"))</f>
        <v/>
      </c>
      <c r="Q9" s="37" t="str">
        <f t="shared" ref="Q9:Q12" si="4">IF($E9="","",IF(OR($U9=$F9,_xlfn.REGEXTEST($F9,"P$")),"","!"))</f>
        <v/>
      </c>
      <c r="R9" s="37" t="str">
        <f>IF($E9="","",IF($E9&lt;=Einstellungen!$B$3,"","!"))</f>
        <v/>
      </c>
      <c r="S9" s="37" t="str">
        <f>IF($E9="","",IF($E9&gt;$E7,"","!"))</f>
        <v/>
      </c>
      <c r="U9" s="26" t="str" cm="1">
        <f t="array" ref="U9">IFERROR(INDEX(_xlfn._xlws.FILTER(Lernbereiche!$A$4:$A$52,(Lernbereiche!$B$4:$B$52&lt;=$E9)*(Lernbereiche!$C$4:$C$52&gt;=$E9),""),1),"")</f>
        <v>M10.1</v>
      </c>
      <c r="V9" s="26">
        <f>IFERROR(MATCH($E9,Einstellungen!$A$15:$A$52,0),0)</f>
        <v>8</v>
      </c>
    </row>
    <row r="10" spans="1:22" ht="45.75" customHeight="1" x14ac:dyDescent="0.25">
      <c r="A10" s="21" t="str">
        <f t="shared" si="3"/>
        <v/>
      </c>
      <c r="B10" s="35" t="str">
        <f>IF($F10="","",$F10&amp;"-"&amp;TEXT(COUNTA($F$4:$F10),"00"))</f>
        <v>M10.P-06</v>
      </c>
      <c r="C10" s="35" t="str">
        <f>IF($V10=0,"",TEXT(INDEX(Einstellungen!$B$15:$B$52,$V10),"TT.MM")&amp;" - "&amp;TEXT(INDEX(Einstellungen!$C$15:$C$52,$V10),"TT.MM"))</f>
        <v>16.11 - 22.11</v>
      </c>
      <c r="D10" s="35">
        <f>IF($V10=0,"",_xlfn.ISOWEEKNUM(DATE(IF(MONTH(INDEX(Einstellungen!$B$15:$B$52,$V10))&gt;=9,Einstellungen!$B$1,Einstellungen!$B$1+1),MONTH(INDEX(Einstellungen!$B$15:$B$52,$V10)),DAY(INDEX(Einstellungen!$B$15:$B$52,$V10)))))</f>
        <v>47</v>
      </c>
      <c r="E10" s="1">
        <v>9</v>
      </c>
      <c r="F10" s="2" t="s">
        <v>174</v>
      </c>
      <c r="G10" s="3" t="s">
        <v>175</v>
      </c>
      <c r="H10" s="4" t="s">
        <v>172</v>
      </c>
      <c r="I10" s="4" t="s">
        <v>173</v>
      </c>
      <c r="J10" s="5" t="b">
        <v>0</v>
      </c>
      <c r="K10" s="6" t="s">
        <v>24</v>
      </c>
      <c r="L10" s="36" t="str">
        <f>IF($V10=0,"",IF(AND(INDEX(Einstellungen!$E$15:$E$52,$V10),INDEX(Einstellungen!$F$15:$F$52,$V10)),"1/2 Woche"&amp;CHAR(10)&amp;"1/2 Klasse",IF(INDEX(Einstellungen!$E$15:$E$52,$V10),"1/2 Woche",IF(INDEX(Einstellungen!$F$15:$F$52,$V10),"1/2 Klasse",""))))</f>
        <v/>
      </c>
      <c r="M10" s="7"/>
      <c r="P10" s="37" t="str">
        <f>IF(OR($V10=0,$E10&gt;Einstellungen!$B$3),"",IF(INDEX(Einstellungen!$D$15:$D$52,$V10),"","!"))</f>
        <v/>
      </c>
      <c r="Q10" s="37" t="str">
        <f t="shared" si="4"/>
        <v/>
      </c>
      <c r="R10" s="37" t="str">
        <f>IF($E10="","",IF($E10&lt;=Einstellungen!$B$3,"","!"))</f>
        <v/>
      </c>
      <c r="S10" s="37" t="str">
        <f t="shared" ref="S10:S12" si="5">IF($E10="","",IF($E10&gt;$E9,"","!"))</f>
        <v/>
      </c>
      <c r="U10" s="26" t="str" cm="1">
        <f t="array" ref="U10">IFERROR(INDEX(_xlfn._xlws.FILTER(Lernbereiche!$A$4:$A$52,(Lernbereiche!$B$4:$B$52&lt;=$E10)*(Lernbereiche!$C$4:$C$52&gt;=$E10),""),1),"")</f>
        <v>M10.3</v>
      </c>
      <c r="V10" s="26">
        <f>IFERROR(MATCH($E10,Einstellungen!$A$15:$A$52,0),0)</f>
        <v>9</v>
      </c>
    </row>
    <row r="11" spans="1:22" ht="45.75" customHeight="1" x14ac:dyDescent="0.25">
      <c r="A11" s="21" t="str">
        <f t="shared" si="3"/>
        <v/>
      </c>
      <c r="B11" s="35" t="str">
        <f>IF($F11="","",$F11&amp;"-"&amp;TEXT(COUNTA($F$4:$F11),"00"))</f>
        <v>M10.P-07</v>
      </c>
      <c r="C11" s="35" t="str">
        <f>IF($V11=0,"",TEXT(INDEX(Einstellungen!$B$15:$B$52,$V11),"TT.MM")&amp;" - "&amp;TEXT(INDEX(Einstellungen!$C$15:$C$52,$V11),"TT.MM"))</f>
        <v>23.11 - 29.11</v>
      </c>
      <c r="D11" s="35">
        <f>IF($V11=0,"",_xlfn.ISOWEEKNUM(DATE(IF(MONTH(INDEX(Einstellungen!$B$15:$B$52,$V11))&gt;=9,Einstellungen!$B$1,Einstellungen!$B$1+1),MONTH(INDEX(Einstellungen!$B$15:$B$52,$V11)),DAY(INDEX(Einstellungen!$B$15:$B$52,$V11)))))</f>
        <v>48</v>
      </c>
      <c r="E11" s="1">
        <v>10</v>
      </c>
      <c r="F11" s="2" t="s">
        <v>174</v>
      </c>
      <c r="G11" s="3" t="s">
        <v>175</v>
      </c>
      <c r="H11" s="4" t="s">
        <v>172</v>
      </c>
      <c r="I11" s="4" t="s">
        <v>173</v>
      </c>
      <c r="J11" s="5" t="b">
        <v>0</v>
      </c>
      <c r="K11" s="6" t="s">
        <v>79</v>
      </c>
      <c r="L11" s="36" t="str">
        <f>IF($V11=0,"",IF(AND(INDEX(Einstellungen!$E$15:$E$52,$V11),INDEX(Einstellungen!$F$15:$F$52,$V11)),"1/2 Woche"&amp;CHAR(10)&amp;"1/2 Klasse",IF(INDEX(Einstellungen!$E$15:$E$52,$V11),"1/2 Woche",IF(INDEX(Einstellungen!$F$15:$F$52,$V11),"1/2 Klasse",""))))</f>
        <v/>
      </c>
      <c r="M11" s="7"/>
      <c r="P11" s="37" t="str">
        <f>IF(OR($V11=0,$E11&gt;Einstellungen!$B$3),"",IF(INDEX(Einstellungen!$D$15:$D$52,$V11),"","!"))</f>
        <v/>
      </c>
      <c r="Q11" s="37" t="str">
        <f t="shared" si="4"/>
        <v/>
      </c>
      <c r="R11" s="37" t="str">
        <f>IF($E11="","",IF($E11&lt;=Einstellungen!$B$3,"","!"))</f>
        <v/>
      </c>
      <c r="S11" s="37" t="str">
        <f t="shared" si="5"/>
        <v/>
      </c>
      <c r="U11" s="26" t="str" cm="1">
        <f t="array" ref="U11">IFERROR(INDEX(_xlfn._xlws.FILTER(Lernbereiche!$A$4:$A$52,(Lernbereiche!$B$4:$B$52&lt;=$E11)*(Lernbereiche!$C$4:$C$52&gt;=$E11),""),1),"")</f>
        <v>M10.3</v>
      </c>
      <c r="V11" s="26">
        <f>IFERROR(MATCH($E11,Einstellungen!$A$15:$A$52,0),0)</f>
        <v>10</v>
      </c>
    </row>
    <row r="12" spans="1:22" ht="45.75" customHeight="1" x14ac:dyDescent="0.25">
      <c r="A12" s="21" t="str">
        <f t="shared" si="3"/>
        <v/>
      </c>
      <c r="B12" s="35" t="str">
        <f>IF($F12="","",$F12&amp;"-"&amp;TEXT(COUNTA($F$4:$F12),"00"))</f>
        <v>M10.3-08</v>
      </c>
      <c r="C12" s="35" t="str">
        <f>IF($V12=0,"",TEXT(INDEX(Einstellungen!$B$15:$B$52,$V12),"TT.MM")&amp;" - "&amp;TEXT(INDEX(Einstellungen!$C$15:$C$52,$V12),"TT.MM"))</f>
        <v>30.11 - 06.12</v>
      </c>
      <c r="D12" s="35">
        <f>IF($V12=0,"",_xlfn.ISOWEEKNUM(DATE(IF(MONTH(INDEX(Einstellungen!$B$15:$B$52,$V12))&gt;=9,Einstellungen!$B$1,Einstellungen!$B$1+1),MONTH(INDEX(Einstellungen!$B$15:$B$52,$V12)),DAY(INDEX(Einstellungen!$B$15:$B$52,$V12)))))</f>
        <v>49</v>
      </c>
      <c r="E12" s="1">
        <v>11</v>
      </c>
      <c r="F12" s="2" t="s">
        <v>164</v>
      </c>
      <c r="G12" s="3" t="s">
        <v>165</v>
      </c>
      <c r="H12" s="4" t="s">
        <v>172</v>
      </c>
      <c r="I12" s="4" t="s">
        <v>173</v>
      </c>
      <c r="J12" s="5" t="b">
        <v>0</v>
      </c>
      <c r="K12" s="6" t="s">
        <v>8</v>
      </c>
      <c r="L12" s="36" t="str">
        <f>IF($V12=0,"",IF(AND(INDEX(Einstellungen!$E$15:$E$52,$V12),INDEX(Einstellungen!$F$15:$F$52,$V12)),"1/2 Woche"&amp;CHAR(10)&amp;"1/2 Klasse",IF(INDEX(Einstellungen!$E$15:$E$52,$V12),"1/2 Woche",IF(INDEX(Einstellungen!$F$15:$F$52,$V12),"1/2 Klasse",""))))</f>
        <v/>
      </c>
      <c r="M12" s="7"/>
      <c r="P12" s="37" t="str">
        <f>IF(OR($V12=0,$E12&gt;Einstellungen!$B$3),"",IF(INDEX(Einstellungen!$D$15:$D$52,$V12),"","!"))</f>
        <v/>
      </c>
      <c r="Q12" s="37" t="str">
        <f t="shared" si="4"/>
        <v/>
      </c>
      <c r="R12" s="37" t="str">
        <f>IF($E12="","",IF($E12&lt;=Einstellungen!$B$3,"","!"))</f>
        <v/>
      </c>
      <c r="S12" s="37" t="str">
        <f t="shared" si="5"/>
        <v/>
      </c>
      <c r="U12" s="26" t="str" cm="1">
        <f t="array" ref="U12">IFERROR(INDEX(_xlfn._xlws.FILTER(Lernbereiche!$A$4:$A$52,(Lernbereiche!$B$4:$B$52&lt;=$E12)*(Lernbereiche!$C$4:$C$52&gt;=$E12),""),1),"")</f>
        <v>M10.3</v>
      </c>
      <c r="V12" s="26">
        <f>IFERROR(MATCH($E12,Einstellungen!$A$15:$A$52,0),0)</f>
        <v>11</v>
      </c>
    </row>
    <row r="13" spans="1:22" ht="19.5" customHeight="1" x14ac:dyDescent="0.25">
      <c r="B13" s="67" t="s">
        <v>184</v>
      </c>
      <c r="C13" s="68"/>
      <c r="D13" s="68"/>
      <c r="E13" s="68"/>
      <c r="F13" s="68"/>
      <c r="G13" s="68"/>
      <c r="H13" s="68"/>
      <c r="I13" s="68"/>
      <c r="J13" s="68"/>
      <c r="K13" s="68"/>
      <c r="L13" s="68"/>
      <c r="M13" s="68"/>
      <c r="N13" s="66" t="s">
        <v>179</v>
      </c>
      <c r="P13" s="37"/>
      <c r="Q13" s="37"/>
      <c r="R13" s="37"/>
      <c r="S13" s="37"/>
    </row>
    <row r="14" spans="1:22" ht="45.75" customHeight="1" x14ac:dyDescent="0.25">
      <c r="A14" s="21" t="str">
        <f t="shared" ref="A14:A15" si="6">IF($E14="","",IF(COUNTIF(P14:S14,"!"),"!",""))</f>
        <v/>
      </c>
      <c r="B14" s="35" t="str">
        <f>IF($F14="","",$F14&amp;"-"&amp;TEXT(COUNTA($F$4:$F14),"00"))</f>
        <v>M10.3-09</v>
      </c>
      <c r="C14" s="35" t="str">
        <f>IF($V14=0,"",TEXT(INDEX(Einstellungen!$B$15:$B$52,$V14),"TT.MM")&amp;" - "&amp;TEXT(INDEX(Einstellungen!$C$15:$C$52,$V14),"TT.MM"))</f>
        <v>14.12 - 20.12</v>
      </c>
      <c r="D14" s="35">
        <f>IF($V14=0,"",_xlfn.ISOWEEKNUM(DATE(IF(MONTH(INDEX(Einstellungen!$B$15:$B$52,$V14))&gt;=9,Einstellungen!$B$1,Einstellungen!$B$1+1),MONTH(INDEX(Einstellungen!$B$15:$B$52,$V14)),DAY(INDEX(Einstellungen!$B$15:$B$52,$V14)))))</f>
        <v>51</v>
      </c>
      <c r="E14" s="1">
        <v>13</v>
      </c>
      <c r="F14" s="2" t="s">
        <v>164</v>
      </c>
      <c r="G14" s="3" t="s">
        <v>165</v>
      </c>
      <c r="H14" s="4" t="s">
        <v>172</v>
      </c>
      <c r="I14" s="4" t="s">
        <v>173</v>
      </c>
      <c r="J14" s="5" t="b">
        <v>0</v>
      </c>
      <c r="K14" s="6" t="s">
        <v>8</v>
      </c>
      <c r="L14" s="36" t="str">
        <f>IF($V14=0,"",IF(AND(INDEX(Einstellungen!$E$15:$E$52,$V14),INDEX(Einstellungen!$F$15:$F$52,$V14)),"1/2 Woche"&amp;CHAR(10)&amp;"1/2 Klasse",IF(INDEX(Einstellungen!$E$15:$E$52,$V14),"1/2 Woche",IF(INDEX(Einstellungen!$F$15:$F$52,$V14),"1/2 Klasse",""))))</f>
        <v/>
      </c>
      <c r="M14" s="7"/>
      <c r="P14" s="37" t="str">
        <f>IF(OR($V14=0,$E14&gt;Einstellungen!$B$3),"",IF(INDEX(Einstellungen!$D$15:$D$52,$V14),"","!"))</f>
        <v/>
      </c>
      <c r="Q14" s="37" t="str">
        <f t="shared" ref="Q14:Q15" si="7">IF($E14="","",IF(OR($U14=$F14,_xlfn.REGEXTEST($F14,"P$")),"","!"))</f>
        <v/>
      </c>
      <c r="R14" s="37" t="str">
        <f>IF($E14="","",IF($E14&lt;=Einstellungen!$B$3,"","!"))</f>
        <v/>
      </c>
      <c r="S14" s="37" t="str">
        <f>IF($E14="","",IF($E14&gt;$E12,"","!"))</f>
        <v/>
      </c>
      <c r="U14" s="26" t="str" cm="1">
        <f t="array" ref="U14">IFERROR(INDEX(_xlfn._xlws.FILTER(Lernbereiche!$A$4:$A$52,(Lernbereiche!$B$4:$B$52&lt;=$E14)*(Lernbereiche!$C$4:$C$52&gt;=$E14),""),1),"")</f>
        <v>M10.3</v>
      </c>
      <c r="V14" s="26">
        <f>IFERROR(MATCH($E14,Einstellungen!$A$15:$A$52,0),0)</f>
        <v>13</v>
      </c>
    </row>
    <row r="15" spans="1:22" ht="45.75" customHeight="1" x14ac:dyDescent="0.25">
      <c r="A15" s="21" t="str">
        <f t="shared" si="6"/>
        <v/>
      </c>
      <c r="B15" s="35" t="str">
        <f>IF($F15="","",$F15&amp;"-"&amp;TEXT(COUNTA($F$4:$F15),"00"))</f>
        <v>M10.3-10</v>
      </c>
      <c r="C15" s="35" t="str">
        <f>IF($V15=0,"",TEXT(INDEX(Einstellungen!$B$15:$B$52,$V15),"TT.MM")&amp;" - "&amp;TEXT(INDEX(Einstellungen!$C$15:$C$52,$V15),"TT.MM"))</f>
        <v>21.12 - 23.12</v>
      </c>
      <c r="D15" s="35">
        <f>IF($V15=0,"",_xlfn.ISOWEEKNUM(DATE(IF(MONTH(INDEX(Einstellungen!$B$15:$B$52,$V15))&gt;=9,Einstellungen!$B$1,Einstellungen!$B$1+1),MONTH(INDEX(Einstellungen!$B$15:$B$52,$V15)),DAY(INDEX(Einstellungen!$B$15:$B$52,$V15)))))</f>
        <v>52</v>
      </c>
      <c r="E15" s="1">
        <v>14</v>
      </c>
      <c r="F15" s="2" t="s">
        <v>164</v>
      </c>
      <c r="G15" s="3" t="s">
        <v>165</v>
      </c>
      <c r="H15" s="4" t="s">
        <v>172</v>
      </c>
      <c r="I15" s="4" t="s">
        <v>173</v>
      </c>
      <c r="J15" s="5" t="b">
        <v>0</v>
      </c>
      <c r="K15" s="6" t="s">
        <v>8</v>
      </c>
      <c r="L15" s="36" t="str">
        <f>IF($V15=0,"",IF(AND(INDEX(Einstellungen!$E$15:$E$52,$V15),INDEX(Einstellungen!$F$15:$F$52,$V15)),"1/2 Woche"&amp;CHAR(10)&amp;"1/2 Klasse",IF(INDEX(Einstellungen!$E$15:$E$52,$V15),"1/2 Woche",IF(INDEX(Einstellungen!$F$15:$F$52,$V15),"1/2 Klasse",""))))</f>
        <v>1/2 Woche</v>
      </c>
      <c r="M15" s="7"/>
      <c r="P15" s="37" t="str">
        <f>IF(OR($V15=0,$E15&gt;Einstellungen!$B$3),"",IF(INDEX(Einstellungen!$D$15:$D$52,$V15),"","!"))</f>
        <v/>
      </c>
      <c r="Q15" s="37" t="str">
        <f t="shared" si="7"/>
        <v/>
      </c>
      <c r="R15" s="37" t="str">
        <f>IF($E15="","",IF($E15&lt;=Einstellungen!$B$3,"","!"))</f>
        <v/>
      </c>
      <c r="S15" s="37" t="str">
        <f>IF($E15="","",IF($E15&gt;$E14,"","!"))</f>
        <v/>
      </c>
      <c r="U15" s="26" t="str" cm="1">
        <f t="array" ref="U15">IFERROR(INDEX(_xlfn._xlws.FILTER(Lernbereiche!$A$4:$A$52,(Lernbereiche!$B$4:$B$52&lt;=$E15)*(Lernbereiche!$C$4:$C$52&gt;=$E15),""),1),"")</f>
        <v>M10.3</v>
      </c>
      <c r="V15" s="26">
        <f>IFERROR(MATCH($E15,Einstellungen!$A$15:$A$52,0),0)</f>
        <v>14</v>
      </c>
    </row>
    <row r="16" spans="1:22" ht="19.5" customHeight="1" x14ac:dyDescent="0.25">
      <c r="B16" s="67" t="s">
        <v>183</v>
      </c>
      <c r="C16" s="68"/>
      <c r="D16" s="68"/>
      <c r="E16" s="68"/>
      <c r="F16" s="68"/>
      <c r="G16" s="68"/>
      <c r="H16" s="68"/>
      <c r="I16" s="68"/>
      <c r="J16" s="68"/>
      <c r="K16" s="68"/>
      <c r="L16" s="68"/>
      <c r="M16" s="68"/>
      <c r="N16" s="66" t="s">
        <v>179</v>
      </c>
      <c r="P16" s="37"/>
      <c r="Q16" s="37"/>
      <c r="R16" s="37"/>
      <c r="S16" s="37"/>
    </row>
    <row r="17" spans="1:22" ht="45.75" customHeight="1" x14ac:dyDescent="0.25">
      <c r="A17" s="21" t="str">
        <f t="shared" ref="A17:A19" si="8">IF($E17="","",IF(COUNTIF(P17:S17,"!"),"!",""))</f>
        <v/>
      </c>
      <c r="B17" s="35" t="str">
        <f>IF($F17="","",$F17&amp;"-"&amp;TEXT(COUNTA($F$4:$F17),"00"))</f>
        <v>M10.3-11</v>
      </c>
      <c r="C17" s="35" t="str">
        <f>IF($V17=0,"",TEXT(INDEX(Einstellungen!$B$15:$B$52,$V17),"TT.MM")&amp;" - "&amp;TEXT(INDEX(Einstellungen!$C$15:$C$52,$V17),"TT.MM"))</f>
        <v>11.01 - 17.01</v>
      </c>
      <c r="D17" s="35">
        <f>IF($V17=0,"",_xlfn.ISOWEEKNUM(DATE(IF(MONTH(INDEX(Einstellungen!$B$15:$B$52,$V17))&gt;=9,Einstellungen!$B$1,Einstellungen!$B$1+1),MONTH(INDEX(Einstellungen!$B$15:$B$52,$V17)),DAY(INDEX(Einstellungen!$B$15:$B$52,$V17)))))</f>
        <v>2</v>
      </c>
      <c r="E17" s="1">
        <v>15</v>
      </c>
      <c r="F17" s="2" t="s">
        <v>164</v>
      </c>
      <c r="G17" s="3" t="s">
        <v>165</v>
      </c>
      <c r="H17" s="4" t="s">
        <v>172</v>
      </c>
      <c r="I17" s="4" t="s">
        <v>173</v>
      </c>
      <c r="J17" s="5" t="b">
        <v>0</v>
      </c>
      <c r="K17" s="6" t="s">
        <v>29</v>
      </c>
      <c r="L17" s="36" t="str">
        <f>IF($V17=0,"",IF(AND(INDEX(Einstellungen!$E$15:$E$52,$V17),INDEX(Einstellungen!$F$15:$F$52,$V17)),"1/2 Woche"&amp;CHAR(10)&amp;"1/2 Klasse",IF(INDEX(Einstellungen!$E$15:$E$52,$V17),"1/2 Woche",IF(INDEX(Einstellungen!$F$15:$F$52,$V17),"1/2 Klasse",""))))</f>
        <v/>
      </c>
      <c r="M17" s="7"/>
      <c r="P17" s="37" t="str">
        <f>IF(OR($V17=0,$E17&gt;Einstellungen!$B$3),"",IF(INDEX(Einstellungen!$D$15:$D$52,$V17),"","!"))</f>
        <v/>
      </c>
      <c r="Q17" s="37" t="str">
        <f t="shared" ref="Q17:Q19" si="9">IF($E17="","",IF(OR($U17=$F17,_xlfn.REGEXTEST($F17,"P$")),"","!"))</f>
        <v/>
      </c>
      <c r="R17" s="37" t="str">
        <f>IF($E17="","",IF($E17&lt;=Einstellungen!$B$3,"","!"))</f>
        <v/>
      </c>
      <c r="S17" s="37" t="str">
        <f>IF($E17="","",IF($E17&gt;$E15,"","!"))</f>
        <v/>
      </c>
      <c r="U17" s="26" t="str" cm="1">
        <f t="array" ref="U17">IFERROR(INDEX(_xlfn._xlws.FILTER(Lernbereiche!$A$4:$A$52,(Lernbereiche!$B$4:$B$52&lt;=$E17)*(Lernbereiche!$C$4:$C$52&gt;=$E17),""),1),"")</f>
        <v>M10.3</v>
      </c>
      <c r="V17" s="26">
        <f>IFERROR(MATCH($E17,Einstellungen!$A$15:$A$52,0),0)</f>
        <v>15</v>
      </c>
    </row>
    <row r="18" spans="1:22" ht="45.75" customHeight="1" x14ac:dyDescent="0.25">
      <c r="A18" s="21" t="str">
        <f t="shared" si="8"/>
        <v/>
      </c>
      <c r="B18" s="35" t="str">
        <f>IF($F18="","",$F18&amp;"-"&amp;TEXT(COUNTA($F$4:$F18),"00"))</f>
        <v>M10.3-12</v>
      </c>
      <c r="C18" s="35" t="str">
        <f>IF($V18=0,"",TEXT(INDEX(Einstellungen!$B$15:$B$52,$V18),"TT.MM")&amp;" - "&amp;TEXT(INDEX(Einstellungen!$C$15:$C$52,$V18),"TT.MM"))</f>
        <v>18.01 - 24.01</v>
      </c>
      <c r="D18" s="35">
        <f>IF($V18=0,"",_xlfn.ISOWEEKNUM(DATE(IF(MONTH(INDEX(Einstellungen!$B$15:$B$52,$V18))&gt;=9,Einstellungen!$B$1,Einstellungen!$B$1+1),MONTH(INDEX(Einstellungen!$B$15:$B$52,$V18)),DAY(INDEX(Einstellungen!$B$15:$B$52,$V18)))))</f>
        <v>3</v>
      </c>
      <c r="E18" s="1">
        <v>16</v>
      </c>
      <c r="F18" s="2" t="s">
        <v>164</v>
      </c>
      <c r="G18" s="3" t="s">
        <v>165</v>
      </c>
      <c r="H18" s="4" t="s">
        <v>172</v>
      </c>
      <c r="I18" s="4" t="s">
        <v>173</v>
      </c>
      <c r="J18" s="5" t="b">
        <v>0</v>
      </c>
      <c r="K18" s="6" t="s">
        <v>8</v>
      </c>
      <c r="L18" s="36" t="str">
        <f>IF($V18=0,"",IF(AND(INDEX(Einstellungen!$E$15:$E$52,$V18),INDEX(Einstellungen!$F$15:$F$52,$V18)),"1/2 Woche"&amp;CHAR(10)&amp;"1/2 Klasse",IF(INDEX(Einstellungen!$E$15:$E$52,$V18),"1/2 Woche",IF(INDEX(Einstellungen!$F$15:$F$52,$V18),"1/2 Klasse",""))))</f>
        <v/>
      </c>
      <c r="M18" s="7"/>
      <c r="P18" s="37" t="str">
        <f>IF(OR($V18=0,$E18&gt;Einstellungen!$B$3),"",IF(INDEX(Einstellungen!$D$15:$D$52,$V18),"","!"))</f>
        <v/>
      </c>
      <c r="Q18" s="37" t="str">
        <f t="shared" si="9"/>
        <v/>
      </c>
      <c r="R18" s="37" t="str">
        <f>IF($E18="","",IF($E18&lt;=Einstellungen!$B$3,"","!"))</f>
        <v/>
      </c>
      <c r="S18" s="37" t="str">
        <f t="shared" ref="S18:S19" si="10">IF($E18="","",IF($E18&gt;$E17,"","!"))</f>
        <v/>
      </c>
      <c r="U18" s="26" t="str" cm="1">
        <f t="array" ref="U18">IFERROR(INDEX(_xlfn._xlws.FILTER(Lernbereiche!$A$4:$A$52,(Lernbereiche!$B$4:$B$52&lt;=$E18)*(Lernbereiche!$C$4:$C$52&gt;=$E18),""),1),"")</f>
        <v>M10.3</v>
      </c>
      <c r="V18" s="26">
        <f>IFERROR(MATCH($E18,Einstellungen!$A$15:$A$52,0),0)</f>
        <v>16</v>
      </c>
    </row>
    <row r="19" spans="1:22" ht="45.75" customHeight="1" x14ac:dyDescent="0.25">
      <c r="A19" s="21" t="str">
        <f t="shared" si="8"/>
        <v/>
      </c>
      <c r="B19" s="35" t="str">
        <f>IF($F19="","",$F19&amp;"-"&amp;TEXT(COUNTA($F$4:$F19),"00"))</f>
        <v>M10.3-13</v>
      </c>
      <c r="C19" s="35" t="str">
        <f>IF($V19=0,"",TEXT(INDEX(Einstellungen!$B$15:$B$52,$V19),"TT.MM")&amp;" - "&amp;TEXT(INDEX(Einstellungen!$C$15:$C$52,$V19),"TT.MM"))</f>
        <v>01.02 - 07.02</v>
      </c>
      <c r="D19" s="35">
        <f>IF($V19=0,"",_xlfn.ISOWEEKNUM(DATE(IF(MONTH(INDEX(Einstellungen!$B$15:$B$52,$V19))&gt;=9,Einstellungen!$B$1,Einstellungen!$B$1+1),MONTH(INDEX(Einstellungen!$B$15:$B$52,$V19)),DAY(INDEX(Einstellungen!$B$15:$B$52,$V19)))))</f>
        <v>5</v>
      </c>
      <c r="E19" s="1">
        <v>18</v>
      </c>
      <c r="F19" s="2" t="s">
        <v>164</v>
      </c>
      <c r="G19" s="3" t="s">
        <v>165</v>
      </c>
      <c r="H19" s="4" t="s">
        <v>172</v>
      </c>
      <c r="I19" s="4"/>
      <c r="J19" s="5" t="b">
        <v>0</v>
      </c>
      <c r="K19" s="6" t="s">
        <v>79</v>
      </c>
      <c r="L19" s="36" t="str">
        <f>IF($V19=0,"",IF(AND(INDEX(Einstellungen!$E$15:$E$52,$V19),INDEX(Einstellungen!$F$15:$F$52,$V19)),"1/2 Woche"&amp;CHAR(10)&amp;"1/2 Klasse",IF(INDEX(Einstellungen!$E$15:$E$52,$V19),"1/2 Woche",IF(INDEX(Einstellungen!$F$15:$F$52,$V19),"1/2 Klasse",""))))</f>
        <v/>
      </c>
      <c r="M19" s="7"/>
      <c r="P19" s="37" t="str">
        <f>IF(OR($V19=0,$E19&gt;Einstellungen!$B$3),"",IF(INDEX(Einstellungen!$D$15:$D$52,$V19),"","!"))</f>
        <v/>
      </c>
      <c r="Q19" s="37" t="str">
        <f t="shared" si="9"/>
        <v/>
      </c>
      <c r="R19" s="37" t="str">
        <f>IF($E19="","",IF($E19&lt;=Einstellungen!$B$3,"","!"))</f>
        <v/>
      </c>
      <c r="S19" s="37" t="str">
        <f t="shared" si="10"/>
        <v/>
      </c>
      <c r="U19" s="26" t="str" cm="1">
        <f t="array" ref="U19">IFERROR(INDEX(_xlfn._xlws.FILTER(Lernbereiche!$A$4:$A$52,(Lernbereiche!$B$4:$B$52&lt;=$E19)*(Lernbereiche!$C$4:$C$52&gt;=$E19),""),1),"")</f>
        <v>M10.3</v>
      </c>
      <c r="V19" s="26">
        <f>IFERROR(MATCH($E19,Einstellungen!$A$15:$A$52,0),0)</f>
        <v>18</v>
      </c>
    </row>
    <row r="20" spans="1:22" ht="19.5" customHeight="1" x14ac:dyDescent="0.25">
      <c r="B20" s="67" t="s">
        <v>182</v>
      </c>
      <c r="C20" s="68"/>
      <c r="D20" s="68"/>
      <c r="E20" s="68"/>
      <c r="F20" s="68"/>
      <c r="G20" s="68"/>
      <c r="H20" s="68"/>
      <c r="I20" s="68"/>
      <c r="J20" s="68"/>
      <c r="K20" s="68"/>
      <c r="L20" s="68"/>
      <c r="M20" s="68"/>
      <c r="N20" s="66" t="s">
        <v>179</v>
      </c>
      <c r="P20" s="37"/>
      <c r="Q20" s="37"/>
      <c r="R20" s="37"/>
      <c r="S20" s="37"/>
    </row>
    <row r="21" spans="1:22" ht="45.75" customHeight="1" x14ac:dyDescent="0.25">
      <c r="A21" s="21" t="str">
        <f t="shared" ref="A21:A24" si="11">IF($E21="","",IF(COUNTIF(P21:S21,"!"),"!",""))</f>
        <v/>
      </c>
      <c r="B21" s="35" t="str">
        <f>IF($F21="","",$F21&amp;"-"&amp;TEXT(COUNTA($F$4:$F21),"00"))</f>
        <v>M10.3-14</v>
      </c>
      <c r="C21" s="35" t="str">
        <f>IF($V21=0,"",TEXT(INDEX(Einstellungen!$B$15:$B$52,$V21),"TT.MM")&amp;" - "&amp;TEXT(INDEX(Einstellungen!$C$15:$C$52,$V21),"TT.MM"))</f>
        <v>15.02 - 21.02</v>
      </c>
      <c r="D21" s="35">
        <f>IF($V21=0,"",_xlfn.ISOWEEKNUM(DATE(IF(MONTH(INDEX(Einstellungen!$B$15:$B$52,$V21))&gt;=9,Einstellungen!$B$1,Einstellungen!$B$1+1),MONTH(INDEX(Einstellungen!$B$15:$B$52,$V21)),DAY(INDEX(Einstellungen!$B$15:$B$52,$V21)))))</f>
        <v>7</v>
      </c>
      <c r="E21" s="1">
        <v>19</v>
      </c>
      <c r="F21" s="2" t="s">
        <v>164</v>
      </c>
      <c r="G21" s="3" t="s">
        <v>165</v>
      </c>
      <c r="H21" s="4" t="s">
        <v>172</v>
      </c>
      <c r="I21" s="4" t="s">
        <v>173</v>
      </c>
      <c r="J21" s="5" t="b">
        <v>0</v>
      </c>
      <c r="K21" s="6" t="s">
        <v>8</v>
      </c>
      <c r="L21" s="36" t="str">
        <f>IF($V21=0,"",IF(AND(INDEX(Einstellungen!$E$15:$E$52,$V21),INDEX(Einstellungen!$F$15:$F$52,$V21)),"1/2 Woche"&amp;CHAR(10)&amp;"1/2 Klasse",IF(INDEX(Einstellungen!$E$15:$E$52,$V21),"1/2 Woche",IF(INDEX(Einstellungen!$F$15:$F$52,$V21),"1/2 Klasse",""))))</f>
        <v/>
      </c>
      <c r="M21" s="7"/>
      <c r="P21" s="37" t="str">
        <f>IF(OR($V21=0,$E21&gt;Einstellungen!$B$3),"",IF(INDEX(Einstellungen!$D$15:$D$52,$V21),"","!"))</f>
        <v/>
      </c>
      <c r="Q21" s="37" t="str">
        <f t="shared" ref="Q21:Q24" si="12">IF($E21="","",IF(OR($U21=$F21,_xlfn.REGEXTEST($F21,"P$")),"","!"))</f>
        <v/>
      </c>
      <c r="R21" s="37" t="str">
        <f>IF($E21="","",IF($E21&lt;=Einstellungen!$B$3,"","!"))</f>
        <v/>
      </c>
      <c r="S21" s="37" t="str">
        <f>IF($E21="","",IF($E21&gt;$E19,"","!"))</f>
        <v/>
      </c>
      <c r="U21" s="26" t="str" cm="1">
        <f t="array" ref="U21">IFERROR(INDEX(_xlfn._xlws.FILTER(Lernbereiche!$A$4:$A$52,(Lernbereiche!$B$4:$B$52&lt;=$E21)*(Lernbereiche!$C$4:$C$52&gt;=$E21),""),1),"")</f>
        <v>M10.3</v>
      </c>
      <c r="V21" s="26">
        <f>IFERROR(MATCH($E21,Einstellungen!$A$15:$A$52,0),0)</f>
        <v>19</v>
      </c>
    </row>
    <row r="22" spans="1:22" ht="45.75" customHeight="1" x14ac:dyDescent="0.25">
      <c r="A22" s="21" t="str">
        <f t="shared" si="11"/>
        <v/>
      </c>
      <c r="B22" s="35" t="str">
        <f>IF($F22="","",$F22&amp;"-"&amp;TEXT(COUNTA($F$4:$F22),"00"))</f>
        <v>M10.3-15</v>
      </c>
      <c r="C22" s="35" t="str">
        <f>IF($V22=0,"",TEXT(INDEX(Einstellungen!$B$15:$B$52,$V22),"TT.MM")&amp;" - "&amp;TEXT(INDEX(Einstellungen!$C$15:$C$52,$V22),"TT.MM"))</f>
        <v>22.02 - 28.02</v>
      </c>
      <c r="D22" s="35">
        <f>IF($V22=0,"",_xlfn.ISOWEEKNUM(DATE(IF(MONTH(INDEX(Einstellungen!$B$15:$B$52,$V22))&gt;=9,Einstellungen!$B$1,Einstellungen!$B$1+1),MONTH(INDEX(Einstellungen!$B$15:$B$52,$V22)),DAY(INDEX(Einstellungen!$B$15:$B$52,$V22)))))</f>
        <v>8</v>
      </c>
      <c r="E22" s="1">
        <v>20</v>
      </c>
      <c r="F22" s="2" t="s">
        <v>164</v>
      </c>
      <c r="G22" s="3" t="s">
        <v>165</v>
      </c>
      <c r="H22" s="4" t="s">
        <v>172</v>
      </c>
      <c r="I22" s="4" t="s">
        <v>173</v>
      </c>
      <c r="J22" s="5" t="b">
        <v>0</v>
      </c>
      <c r="K22" s="6" t="s">
        <v>29</v>
      </c>
      <c r="L22" s="36" t="str">
        <f>IF($V22=0,"",IF(AND(INDEX(Einstellungen!$E$15:$E$52,$V22),INDEX(Einstellungen!$F$15:$F$52,$V22)),"1/2 Woche"&amp;CHAR(10)&amp;"1/2 Klasse",IF(INDEX(Einstellungen!$E$15:$E$52,$V22),"1/2 Woche",IF(INDEX(Einstellungen!$F$15:$F$52,$V22),"1/2 Klasse",""))))</f>
        <v/>
      </c>
      <c r="M22" s="7"/>
      <c r="P22" s="37" t="str">
        <f>IF(OR($V22=0,$E22&gt;Einstellungen!$B$3),"",IF(INDEX(Einstellungen!$D$15:$D$52,$V22),"","!"))</f>
        <v/>
      </c>
      <c r="Q22" s="37" t="str">
        <f t="shared" si="12"/>
        <v/>
      </c>
      <c r="R22" s="37" t="str">
        <f>IF($E22="","",IF($E22&lt;=Einstellungen!$B$3,"","!"))</f>
        <v/>
      </c>
      <c r="S22" s="37" t="str">
        <f t="shared" ref="S22:S24" si="13">IF($E22="","",IF($E22&gt;$E21,"","!"))</f>
        <v/>
      </c>
      <c r="U22" s="26" t="str" cm="1">
        <f t="array" ref="U22">IFERROR(INDEX(_xlfn._xlws.FILTER(Lernbereiche!$A$4:$A$52,(Lernbereiche!$B$4:$B$52&lt;=$E22)*(Lernbereiche!$C$4:$C$52&gt;=$E22),""),1),"")</f>
        <v>M10.3</v>
      </c>
      <c r="V22" s="26">
        <f>IFERROR(MATCH($E22,Einstellungen!$A$15:$A$52,0),0)</f>
        <v>20</v>
      </c>
    </row>
    <row r="23" spans="1:22" ht="45.75" customHeight="1" x14ac:dyDescent="0.25">
      <c r="A23" s="21" t="str">
        <f t="shared" si="11"/>
        <v/>
      </c>
      <c r="B23" s="35" t="str">
        <f>IF($F23="","",$F23&amp;"-"&amp;TEXT(COUNTA($F$4:$F23),"00"))</f>
        <v>M10.P-16</v>
      </c>
      <c r="C23" s="35" t="str">
        <f>IF($V23=0,"",TEXT(INDEX(Einstellungen!$B$15:$B$52,$V23),"TT.MM")&amp;" - "&amp;TEXT(INDEX(Einstellungen!$C$15:$C$52,$V23),"TT.MM"))</f>
        <v>01.03 - 07.03</v>
      </c>
      <c r="D23" s="35">
        <f>IF($V23=0,"",_xlfn.ISOWEEKNUM(DATE(IF(MONTH(INDEX(Einstellungen!$B$15:$B$52,$V23))&gt;=9,Einstellungen!$B$1,Einstellungen!$B$1+1),MONTH(INDEX(Einstellungen!$B$15:$B$52,$V23)),DAY(INDEX(Einstellungen!$B$15:$B$52,$V23)))))</f>
        <v>9</v>
      </c>
      <c r="E23" s="1">
        <v>21</v>
      </c>
      <c r="F23" s="2" t="s">
        <v>174</v>
      </c>
      <c r="G23" s="3" t="s">
        <v>175</v>
      </c>
      <c r="H23" s="4" t="s">
        <v>172</v>
      </c>
      <c r="I23" s="4" t="s">
        <v>173</v>
      </c>
      <c r="J23" s="5" t="b">
        <v>0</v>
      </c>
      <c r="K23" s="6" t="s">
        <v>24</v>
      </c>
      <c r="L23" s="36" t="str">
        <f>IF($V23=0,"",IF(AND(INDEX(Einstellungen!$E$15:$E$52,$V23),INDEX(Einstellungen!$F$15:$F$52,$V23)),"1/2 Woche"&amp;CHAR(10)&amp;"1/2 Klasse",IF(INDEX(Einstellungen!$E$15:$E$52,$V23),"1/2 Woche",IF(INDEX(Einstellungen!$F$15:$F$52,$V23),"1/2 Klasse",""))))</f>
        <v/>
      </c>
      <c r="M23" s="7"/>
      <c r="P23" s="37" t="str">
        <f>IF(OR($V23=0,$E23&gt;Einstellungen!$B$3),"",IF(INDEX(Einstellungen!$D$15:$D$52,$V23),"","!"))</f>
        <v/>
      </c>
      <c r="Q23" s="37" t="str">
        <f t="shared" si="12"/>
        <v/>
      </c>
      <c r="R23" s="37" t="str">
        <f>IF($E23="","",IF($E23&lt;=Einstellungen!$B$3,"","!"))</f>
        <v/>
      </c>
      <c r="S23" s="37" t="str">
        <f t="shared" si="13"/>
        <v/>
      </c>
      <c r="U23" s="26" t="str" cm="1">
        <f t="array" ref="U23">IFERROR(INDEX(_xlfn._xlws.FILTER(Lernbereiche!$A$4:$A$52,(Lernbereiche!$B$4:$B$52&lt;=$E23)*(Lernbereiche!$C$4:$C$52&gt;=$E23),""),1),"")</f>
        <v>M10.4</v>
      </c>
      <c r="V23" s="26">
        <f>IFERROR(MATCH($E23,Einstellungen!$A$15:$A$52,0),0)</f>
        <v>21</v>
      </c>
    </row>
    <row r="24" spans="1:22" ht="45.75" customHeight="1" x14ac:dyDescent="0.25">
      <c r="A24" s="21" t="str">
        <f t="shared" si="11"/>
        <v/>
      </c>
      <c r="B24" s="35" t="str">
        <f>IF($F24="","",$F24&amp;"-"&amp;TEXT(COUNTA($F$4:$F24),"00"))</f>
        <v>M10.P-17</v>
      </c>
      <c r="C24" s="35" t="str">
        <f>IF($V24=0,"",TEXT(INDEX(Einstellungen!$B$15:$B$52,$V24),"TT.MM")&amp;" - "&amp;TEXT(INDEX(Einstellungen!$C$15:$C$52,$V24),"TT.MM"))</f>
        <v>08.03 - 14.03</v>
      </c>
      <c r="D24" s="35">
        <f>IF($V24=0,"",_xlfn.ISOWEEKNUM(DATE(IF(MONTH(INDEX(Einstellungen!$B$15:$B$52,$V24))&gt;=9,Einstellungen!$B$1,Einstellungen!$B$1+1),MONTH(INDEX(Einstellungen!$B$15:$B$52,$V24)),DAY(INDEX(Einstellungen!$B$15:$B$52,$V24)))))</f>
        <v>10</v>
      </c>
      <c r="E24" s="1">
        <v>22</v>
      </c>
      <c r="F24" s="2" t="s">
        <v>174</v>
      </c>
      <c r="G24" s="3" t="s">
        <v>175</v>
      </c>
      <c r="H24" s="4" t="s">
        <v>172</v>
      </c>
      <c r="I24" s="4" t="s">
        <v>173</v>
      </c>
      <c r="J24" s="5" t="b">
        <v>0</v>
      </c>
      <c r="K24" s="6" t="s">
        <v>79</v>
      </c>
      <c r="L24" s="36" t="str">
        <f>IF($V24=0,"",IF(AND(INDEX(Einstellungen!$E$15:$E$52,$V24),INDEX(Einstellungen!$F$15:$F$52,$V24)),"1/2 Woche"&amp;CHAR(10)&amp;"1/2 Klasse",IF(INDEX(Einstellungen!$E$15:$E$52,$V24),"1/2 Woche",IF(INDEX(Einstellungen!$F$15:$F$52,$V24),"1/2 Klasse",""))))</f>
        <v/>
      </c>
      <c r="M24" s="7"/>
      <c r="P24" s="37" t="str">
        <f>IF(OR($V24=0,$E24&gt;Einstellungen!$B$3),"",IF(INDEX(Einstellungen!$D$15:$D$52,$V24),"","!"))</f>
        <v/>
      </c>
      <c r="Q24" s="37" t="str">
        <f t="shared" si="12"/>
        <v/>
      </c>
      <c r="R24" s="37" t="str">
        <f>IF($E24="","",IF($E24&lt;=Einstellungen!$B$3,"","!"))</f>
        <v/>
      </c>
      <c r="S24" s="37" t="str">
        <f t="shared" si="13"/>
        <v/>
      </c>
      <c r="U24" s="26" t="str" cm="1">
        <f t="array" ref="U24">IFERROR(INDEX(_xlfn._xlws.FILTER(Lernbereiche!$A$4:$A$52,(Lernbereiche!$B$4:$B$52&lt;=$E24)*(Lernbereiche!$C$4:$C$52&gt;=$E24),""),1),"")</f>
        <v>M10.4</v>
      </c>
      <c r="V24" s="26">
        <f>IFERROR(MATCH($E24,Einstellungen!$A$15:$A$52,0),0)</f>
        <v>22</v>
      </c>
    </row>
    <row r="25" spans="1:22" ht="19.5" customHeight="1" x14ac:dyDescent="0.25">
      <c r="B25" s="67" t="s">
        <v>181</v>
      </c>
      <c r="C25" s="68"/>
      <c r="D25" s="68"/>
      <c r="E25" s="68"/>
      <c r="F25" s="68"/>
      <c r="G25" s="68"/>
      <c r="H25" s="68"/>
      <c r="I25" s="68"/>
      <c r="J25" s="68"/>
      <c r="K25" s="68"/>
      <c r="L25" s="68"/>
      <c r="M25" s="68"/>
      <c r="N25" s="66" t="s">
        <v>179</v>
      </c>
      <c r="P25" s="37"/>
      <c r="Q25" s="37"/>
      <c r="R25" s="37"/>
      <c r="S25" s="37"/>
    </row>
    <row r="26" spans="1:22" ht="45.75" customHeight="1" x14ac:dyDescent="0.25">
      <c r="A26" s="21" t="str">
        <f t="shared" ref="A26:A31" si="14">IF($E26="","",IF(COUNTIF(P26:S26,"!"),"!",""))</f>
        <v/>
      </c>
      <c r="B26" s="35" t="str">
        <f>IF($F26="","",$F26&amp;"-"&amp;TEXT(COUNTA($F$4:$F26),"00"))</f>
        <v>M10.4-18</v>
      </c>
      <c r="C26" s="35" t="str">
        <f>IF($V26=0,"",TEXT(INDEX(Einstellungen!$B$15:$B$52,$V26),"TT.MM")&amp;" - "&amp;TEXT(INDEX(Einstellungen!$C$15:$C$52,$V26),"TT.MM"))</f>
        <v>05.04 - 11.04</v>
      </c>
      <c r="D26" s="35">
        <f>IF($V26=0,"",_xlfn.ISOWEEKNUM(DATE(IF(MONTH(INDEX(Einstellungen!$B$15:$B$52,$V26))&gt;=9,Einstellungen!$B$1,Einstellungen!$B$1+1),MONTH(INDEX(Einstellungen!$B$15:$B$52,$V26)),DAY(INDEX(Einstellungen!$B$15:$B$52,$V26)))))</f>
        <v>14</v>
      </c>
      <c r="E26" s="1">
        <v>24</v>
      </c>
      <c r="F26" s="2" t="s">
        <v>166</v>
      </c>
      <c r="G26" s="3" t="s">
        <v>167</v>
      </c>
      <c r="H26" s="4" t="s">
        <v>172</v>
      </c>
      <c r="I26" s="4" t="s">
        <v>173</v>
      </c>
      <c r="J26" s="5" t="b">
        <v>0</v>
      </c>
      <c r="K26" s="6" t="s">
        <v>8</v>
      </c>
      <c r="L26" s="36" t="str">
        <f>IF($V26=0,"",IF(AND(INDEX(Einstellungen!$E$15:$E$52,$V26),INDEX(Einstellungen!$F$15:$F$52,$V26)),"1/2 Woche"&amp;CHAR(10)&amp;"1/2 Klasse",IF(INDEX(Einstellungen!$E$15:$E$52,$V26),"1/2 Woche",IF(INDEX(Einstellungen!$F$15:$F$52,$V26),"1/2 Klasse",""))))</f>
        <v/>
      </c>
      <c r="M26" s="7"/>
      <c r="P26" s="37" t="str">
        <f>IF(OR($V26=0,$E26&gt;Einstellungen!$B$3),"",IF(INDEX(Einstellungen!$D$15:$D$52,$V26),"","!"))</f>
        <v/>
      </c>
      <c r="Q26" s="37" t="str">
        <f t="shared" ref="Q26:Q31" si="15">IF($E26="","",IF(OR($U26=$F26,_xlfn.REGEXTEST($F26,"P$")),"","!"))</f>
        <v/>
      </c>
      <c r="R26" s="37" t="str">
        <f>IF($E26="","",IF($E26&lt;=Einstellungen!$B$3,"","!"))</f>
        <v/>
      </c>
      <c r="S26" s="37" t="str">
        <f>IF($E26="","",IF($E26&gt;$E24,"","!"))</f>
        <v/>
      </c>
      <c r="U26" s="26" t="str" cm="1">
        <f t="array" ref="U26">IFERROR(INDEX(_xlfn._xlws.FILTER(Lernbereiche!$A$4:$A$52,(Lernbereiche!$B$4:$B$52&lt;=$E26)*(Lernbereiche!$C$4:$C$52&gt;=$E26),""),1),"")</f>
        <v>M10.4</v>
      </c>
      <c r="V26" s="26">
        <f>IFERROR(MATCH($E26,Einstellungen!$A$15:$A$52,0),0)</f>
        <v>24</v>
      </c>
    </row>
    <row r="27" spans="1:22" ht="45.75" customHeight="1" x14ac:dyDescent="0.25">
      <c r="A27" s="21" t="str">
        <f t="shared" si="14"/>
        <v/>
      </c>
      <c r="B27" s="35" t="str">
        <f>IF($F27="","",$F27&amp;"-"&amp;TEXT(COUNTA($F$4:$F27),"00"))</f>
        <v>M10.4-19</v>
      </c>
      <c r="C27" s="35" t="str">
        <f>IF($V27=0,"",TEXT(INDEX(Einstellungen!$B$15:$B$52,$V27),"TT.MM")&amp;" - "&amp;TEXT(INDEX(Einstellungen!$C$15:$C$52,$V27),"TT.MM"))</f>
        <v>12.04 - 18.04</v>
      </c>
      <c r="D27" s="35">
        <f>IF($V27=0,"",_xlfn.ISOWEEKNUM(DATE(IF(MONTH(INDEX(Einstellungen!$B$15:$B$52,$V27))&gt;=9,Einstellungen!$B$1,Einstellungen!$B$1+1),MONTH(INDEX(Einstellungen!$B$15:$B$52,$V27)),DAY(INDEX(Einstellungen!$B$15:$B$52,$V27)))))</f>
        <v>15</v>
      </c>
      <c r="E27" s="1">
        <v>25</v>
      </c>
      <c r="F27" s="2" t="s">
        <v>166</v>
      </c>
      <c r="G27" s="3" t="s">
        <v>167</v>
      </c>
      <c r="H27" s="4" t="s">
        <v>172</v>
      </c>
      <c r="I27" s="4" t="s">
        <v>173</v>
      </c>
      <c r="J27" s="5" t="b">
        <v>0</v>
      </c>
      <c r="K27" s="6" t="s">
        <v>8</v>
      </c>
      <c r="L27" s="36" t="str">
        <f>IF($V27=0,"",IF(AND(INDEX(Einstellungen!$E$15:$E$52,$V27),INDEX(Einstellungen!$F$15:$F$52,$V27)),"1/2 Woche"&amp;CHAR(10)&amp;"1/2 Klasse",IF(INDEX(Einstellungen!$E$15:$E$52,$V27),"1/2 Woche",IF(INDEX(Einstellungen!$F$15:$F$52,$V27),"1/2 Klasse",""))))</f>
        <v/>
      </c>
      <c r="M27" s="7"/>
      <c r="P27" s="37" t="str">
        <f>IF(OR($V27=0,$E27&gt;Einstellungen!$B$3),"",IF(INDEX(Einstellungen!$D$15:$D$52,$V27),"","!"))</f>
        <v/>
      </c>
      <c r="Q27" s="37" t="str">
        <f t="shared" si="15"/>
        <v/>
      </c>
      <c r="R27" s="37" t="str">
        <f>IF($E27="","",IF($E27&lt;=Einstellungen!$B$3,"","!"))</f>
        <v/>
      </c>
      <c r="S27" s="37" t="str">
        <f t="shared" ref="S27:S31" si="16">IF($E27="","",IF($E27&gt;$E26,"","!"))</f>
        <v/>
      </c>
      <c r="U27" s="26" t="str" cm="1">
        <f t="array" ref="U27">IFERROR(INDEX(_xlfn._xlws.FILTER(Lernbereiche!$A$4:$A$52,(Lernbereiche!$B$4:$B$52&lt;=$E27)*(Lernbereiche!$C$4:$C$52&gt;=$E27),""),1),"")</f>
        <v>M10.4</v>
      </c>
      <c r="V27" s="26">
        <f>IFERROR(MATCH($E27,Einstellungen!$A$15:$A$52,0),0)</f>
        <v>25</v>
      </c>
    </row>
    <row r="28" spans="1:22" ht="45.75" customHeight="1" x14ac:dyDescent="0.25">
      <c r="A28" s="21" t="str">
        <f t="shared" si="14"/>
        <v/>
      </c>
      <c r="B28" s="35" t="str">
        <f>IF($F28="","",$F28&amp;"-"&amp;TEXT(COUNTA($F$4:$F28),"00"))</f>
        <v>M10.4-20</v>
      </c>
      <c r="C28" s="35" t="str">
        <f>IF($V28=0,"",TEXT(INDEX(Einstellungen!$B$15:$B$52,$V28),"TT.MM")&amp;" - "&amp;TEXT(INDEX(Einstellungen!$C$15:$C$52,$V28),"TT.MM"))</f>
        <v>19.04 - 25.04</v>
      </c>
      <c r="D28" s="35">
        <f>IF($V28=0,"",_xlfn.ISOWEEKNUM(DATE(IF(MONTH(INDEX(Einstellungen!$B$15:$B$52,$V28))&gt;=9,Einstellungen!$B$1,Einstellungen!$B$1+1),MONTH(INDEX(Einstellungen!$B$15:$B$52,$V28)),DAY(INDEX(Einstellungen!$B$15:$B$52,$V28)))))</f>
        <v>16</v>
      </c>
      <c r="E28" s="1">
        <v>26</v>
      </c>
      <c r="F28" s="2" t="s">
        <v>166</v>
      </c>
      <c r="G28" s="3" t="s">
        <v>167</v>
      </c>
      <c r="H28" s="4" t="s">
        <v>172</v>
      </c>
      <c r="I28" s="4" t="s">
        <v>173</v>
      </c>
      <c r="J28" s="5" t="b">
        <v>0</v>
      </c>
      <c r="K28" s="6" t="s">
        <v>8</v>
      </c>
      <c r="L28" s="36" t="str">
        <f>IF($V28=0,"",IF(AND(INDEX(Einstellungen!$E$15:$E$52,$V28),INDEX(Einstellungen!$F$15:$F$52,$V28)),"1/2 Woche"&amp;CHAR(10)&amp;"1/2 Klasse",IF(INDEX(Einstellungen!$E$15:$E$52,$V28),"1/2 Woche",IF(INDEX(Einstellungen!$F$15:$F$52,$V28),"1/2 Klasse",""))))</f>
        <v/>
      </c>
      <c r="M28" s="7"/>
      <c r="P28" s="37" t="str">
        <f>IF(OR($V28=0,$E28&gt;Einstellungen!$B$3),"",IF(INDEX(Einstellungen!$D$15:$D$52,$V28),"","!"))</f>
        <v/>
      </c>
      <c r="Q28" s="37" t="str">
        <f t="shared" si="15"/>
        <v/>
      </c>
      <c r="R28" s="37" t="str">
        <f>IF($E28="","",IF($E28&lt;=Einstellungen!$B$3,"","!"))</f>
        <v/>
      </c>
      <c r="S28" s="37" t="str">
        <f t="shared" si="16"/>
        <v/>
      </c>
      <c r="U28" s="26" t="str" cm="1">
        <f t="array" ref="U28">IFERROR(INDEX(_xlfn._xlws.FILTER(Lernbereiche!$A$4:$A$52,(Lernbereiche!$B$4:$B$52&lt;=$E28)*(Lernbereiche!$C$4:$C$52&gt;=$E28),""),1),"")</f>
        <v>M10.4</v>
      </c>
      <c r="V28" s="26">
        <f>IFERROR(MATCH($E28,Einstellungen!$A$15:$A$52,0),0)</f>
        <v>26</v>
      </c>
    </row>
    <row r="29" spans="1:22" ht="45.75" customHeight="1" x14ac:dyDescent="0.25">
      <c r="A29" s="21" t="str">
        <f t="shared" si="14"/>
        <v/>
      </c>
      <c r="B29" s="35" t="str">
        <f>IF($F29="","",$F29&amp;"-"&amp;TEXT(COUNTA($F$4:$F29),"00"))</f>
        <v>M10.4-21</v>
      </c>
      <c r="C29" s="35" t="str">
        <f>IF($V29=0,"",TEXT(INDEX(Einstellungen!$B$15:$B$52,$V29),"TT.MM")&amp;" - "&amp;TEXT(INDEX(Einstellungen!$C$15:$C$52,$V29),"TT.MM"))</f>
        <v>26.04 - 02.05</v>
      </c>
      <c r="D29" s="35">
        <f>IF($V29=0,"",_xlfn.ISOWEEKNUM(DATE(IF(MONTH(INDEX(Einstellungen!$B$15:$B$52,$V29))&gt;=9,Einstellungen!$B$1,Einstellungen!$B$1+1),MONTH(INDEX(Einstellungen!$B$15:$B$52,$V29)),DAY(INDEX(Einstellungen!$B$15:$B$52,$V29)))))</f>
        <v>17</v>
      </c>
      <c r="E29" s="1">
        <v>27</v>
      </c>
      <c r="F29" s="2" t="s">
        <v>166</v>
      </c>
      <c r="G29" s="3" t="s">
        <v>167</v>
      </c>
      <c r="H29" s="4" t="s">
        <v>172</v>
      </c>
      <c r="I29" s="4"/>
      <c r="J29" s="5" t="b">
        <v>0</v>
      </c>
      <c r="K29" s="6" t="s">
        <v>79</v>
      </c>
      <c r="L29" s="36" t="str">
        <f>IF($V29=0,"",IF(AND(INDEX(Einstellungen!$E$15:$E$52,$V29),INDEX(Einstellungen!$F$15:$F$52,$V29)),"1/2 Woche"&amp;CHAR(10)&amp;"1/2 Klasse",IF(INDEX(Einstellungen!$E$15:$E$52,$V29),"1/2 Woche",IF(INDEX(Einstellungen!$F$15:$F$52,$V29),"1/2 Klasse",""))))</f>
        <v/>
      </c>
      <c r="M29" s="7"/>
      <c r="P29" s="37" t="str">
        <f>IF(OR($V29=0,$E29&gt;Einstellungen!$B$3),"",IF(INDEX(Einstellungen!$D$15:$D$52,$V29),"","!"))</f>
        <v/>
      </c>
      <c r="Q29" s="37" t="str">
        <f t="shared" si="15"/>
        <v/>
      </c>
      <c r="R29" s="37" t="str">
        <f>IF($E29="","",IF($E29&lt;=Einstellungen!$B$3,"","!"))</f>
        <v/>
      </c>
      <c r="S29" s="37" t="str">
        <f t="shared" si="16"/>
        <v/>
      </c>
      <c r="U29" s="26" t="str" cm="1">
        <f t="array" ref="U29">IFERROR(INDEX(_xlfn._xlws.FILTER(Lernbereiche!$A$4:$A$52,(Lernbereiche!$B$4:$B$52&lt;=$E29)*(Lernbereiche!$C$4:$C$52&gt;=$E29),""),1),"")</f>
        <v>M10.4</v>
      </c>
      <c r="V29" s="26">
        <f>IFERROR(MATCH($E29,Einstellungen!$A$15:$A$52,0),0)</f>
        <v>27</v>
      </c>
    </row>
    <row r="30" spans="1:22" ht="45.75" customHeight="1" x14ac:dyDescent="0.25">
      <c r="A30" s="21" t="str">
        <f t="shared" si="14"/>
        <v/>
      </c>
      <c r="B30" s="35" t="str">
        <f>IF($F30="","",$F30&amp;"-"&amp;TEXT(COUNTA($F$4:$F30),"00"))</f>
        <v>M10.2-22</v>
      </c>
      <c r="C30" s="35" t="str">
        <f>IF($V30=0,"",TEXT(INDEX(Einstellungen!$B$15:$B$52,$V30),"TT.MM")&amp;" - "&amp;TEXT(INDEX(Einstellungen!$C$15:$C$52,$V30),"TT.MM"))</f>
        <v>03.05 - 09.05</v>
      </c>
      <c r="D30" s="35">
        <f>IF($V30=0,"",_xlfn.ISOWEEKNUM(DATE(IF(MONTH(INDEX(Einstellungen!$B$15:$B$52,$V30))&gt;=9,Einstellungen!$B$1,Einstellungen!$B$1+1),MONTH(INDEX(Einstellungen!$B$15:$B$52,$V30)),DAY(INDEX(Einstellungen!$B$15:$B$52,$V30)))))</f>
        <v>18</v>
      </c>
      <c r="E30" s="1">
        <v>28</v>
      </c>
      <c r="F30" s="2" t="s">
        <v>168</v>
      </c>
      <c r="G30" s="3" t="s">
        <v>175</v>
      </c>
      <c r="H30" s="4" t="s">
        <v>172</v>
      </c>
      <c r="I30" s="4" t="s">
        <v>173</v>
      </c>
      <c r="J30" s="5" t="b">
        <v>0</v>
      </c>
      <c r="K30" s="6" t="s">
        <v>8</v>
      </c>
      <c r="L30" s="36" t="str">
        <f>IF($V30=0,"",IF(AND(INDEX(Einstellungen!$E$15:$E$52,$V30),INDEX(Einstellungen!$F$15:$F$52,$V30)),"1/2 Woche"&amp;CHAR(10)&amp;"1/2 Klasse",IF(INDEX(Einstellungen!$E$15:$E$52,$V30),"1/2 Woche",IF(INDEX(Einstellungen!$F$15:$F$52,$V30),"1/2 Klasse",""))))</f>
        <v/>
      </c>
      <c r="M30" s="7"/>
      <c r="P30" s="37" t="str">
        <f>IF(OR($V30=0,$E30&gt;Einstellungen!$B$3),"",IF(INDEX(Einstellungen!$D$15:$D$52,$V30),"","!"))</f>
        <v/>
      </c>
      <c r="Q30" s="37" t="str">
        <f t="shared" si="15"/>
        <v/>
      </c>
      <c r="R30" s="37" t="str">
        <f>IF($E30="","",IF($E30&lt;=Einstellungen!$B$3,"","!"))</f>
        <v/>
      </c>
      <c r="S30" s="37" t="str">
        <f t="shared" si="16"/>
        <v/>
      </c>
      <c r="U30" s="26" t="str" cm="1">
        <f t="array" ref="U30">IFERROR(INDEX(_xlfn._xlws.FILTER(Lernbereiche!$A$4:$A$52,(Lernbereiche!$B$4:$B$52&lt;=$E30)*(Lernbereiche!$C$4:$C$52&gt;=$E30),""),1),"")</f>
        <v>M10.2</v>
      </c>
      <c r="V30" s="26">
        <f>IFERROR(MATCH($E30,Einstellungen!$A$15:$A$52,0),0)</f>
        <v>28</v>
      </c>
    </row>
    <row r="31" spans="1:22" ht="45.75" customHeight="1" x14ac:dyDescent="0.25">
      <c r="A31" s="21" t="str">
        <f t="shared" si="14"/>
        <v/>
      </c>
      <c r="B31" s="35" t="str">
        <f>IF($F31="","",$F31&amp;"-"&amp;TEXT(COUNTA($F$4:$F31),"00"))</f>
        <v>M10.2-23</v>
      </c>
      <c r="C31" s="35" t="str">
        <f>IF($V31=0,"",TEXT(INDEX(Einstellungen!$B$15:$B$52,$V31),"TT.MM")&amp;" - "&amp;TEXT(INDEX(Einstellungen!$C$15:$C$52,$V31),"TT.MM"))</f>
        <v>10.05 - 16.05</v>
      </c>
      <c r="D31" s="35">
        <f>IF($V31=0,"",_xlfn.ISOWEEKNUM(DATE(IF(MONTH(INDEX(Einstellungen!$B$15:$B$52,$V31))&gt;=9,Einstellungen!$B$1,Einstellungen!$B$1+1),MONTH(INDEX(Einstellungen!$B$15:$B$52,$V31)),DAY(INDEX(Einstellungen!$B$15:$B$52,$V31)))))</f>
        <v>19</v>
      </c>
      <c r="E31" s="1">
        <v>29</v>
      </c>
      <c r="F31" s="2" t="s">
        <v>168</v>
      </c>
      <c r="G31" s="3" t="s">
        <v>175</v>
      </c>
      <c r="H31" s="4" t="s">
        <v>172</v>
      </c>
      <c r="I31" s="4" t="s">
        <v>173</v>
      </c>
      <c r="J31" s="5" t="b">
        <v>0</v>
      </c>
      <c r="K31" s="6" t="s">
        <v>8</v>
      </c>
      <c r="L31" s="36" t="str">
        <f>IF($V31=0,"",IF(AND(INDEX(Einstellungen!$E$15:$E$52,$V31),INDEX(Einstellungen!$F$15:$F$52,$V31)),"1/2 Woche"&amp;CHAR(10)&amp;"1/2 Klasse",IF(INDEX(Einstellungen!$E$15:$E$52,$V31),"1/2 Woche",IF(INDEX(Einstellungen!$F$15:$F$52,$V31),"1/2 Klasse",""))))</f>
        <v/>
      </c>
      <c r="M31" s="7"/>
      <c r="P31" s="37" t="str">
        <f>IF(OR($V31=0,$E31&gt;Einstellungen!$B$3),"",IF(INDEX(Einstellungen!$D$15:$D$52,$V31),"","!"))</f>
        <v/>
      </c>
      <c r="Q31" s="37" t="str">
        <f t="shared" si="15"/>
        <v/>
      </c>
      <c r="R31" s="37" t="str">
        <f>IF($E31="","",IF($E31&lt;=Einstellungen!$B$3,"","!"))</f>
        <v/>
      </c>
      <c r="S31" s="37" t="str">
        <f t="shared" si="16"/>
        <v/>
      </c>
      <c r="U31" s="26" t="str" cm="1">
        <f t="array" ref="U31">IFERROR(INDEX(_xlfn._xlws.FILTER(Lernbereiche!$A$4:$A$52,(Lernbereiche!$B$4:$B$52&lt;=$E31)*(Lernbereiche!$C$4:$C$52&gt;=$E31),""),1),"")</f>
        <v>M10.2</v>
      </c>
      <c r="V31" s="26">
        <f>IFERROR(MATCH($E31,Einstellungen!$A$15:$A$52,0),0)</f>
        <v>29</v>
      </c>
    </row>
    <row r="32" spans="1:22" ht="19.5" customHeight="1" x14ac:dyDescent="0.25">
      <c r="B32" s="67" t="s">
        <v>180</v>
      </c>
      <c r="C32" s="68"/>
      <c r="D32" s="68"/>
      <c r="E32" s="68"/>
      <c r="F32" s="68"/>
      <c r="G32" s="68"/>
      <c r="H32" s="68"/>
      <c r="I32" s="68"/>
      <c r="J32" s="68"/>
      <c r="K32" s="68"/>
      <c r="L32" s="68"/>
      <c r="M32" s="68"/>
      <c r="N32" s="66" t="s">
        <v>179</v>
      </c>
      <c r="P32" s="37"/>
      <c r="Q32" s="37"/>
      <c r="R32" s="37"/>
      <c r="S32" s="37"/>
    </row>
    <row r="33" spans="1:22" ht="45.75" customHeight="1" x14ac:dyDescent="0.25">
      <c r="A33" s="21" t="str">
        <f t="shared" ref="A33:A40" si="17">IF($E33="","",IF(COUNTIF(P33:S33,"!"),"!",""))</f>
        <v/>
      </c>
      <c r="B33" s="35" t="str">
        <f>IF($F33="","",$F33&amp;"-"&amp;TEXT(COUNTA($F$4:$F33),"00"))</f>
        <v>M10.2-24</v>
      </c>
      <c r="C33" s="35" t="str">
        <f>IF($V33=0,"",TEXT(INDEX(Einstellungen!$B$15:$B$52,$V33),"TT.MM")&amp;" - "&amp;TEXT(INDEX(Einstellungen!$C$15:$C$52,$V33),"TT.MM"))</f>
        <v>31.05 - 06.06</v>
      </c>
      <c r="D33" s="35">
        <f>IF($V33=0,"",_xlfn.ISOWEEKNUM(DATE(IF(MONTH(INDEX(Einstellungen!$B$15:$B$52,$V33))&gt;=9,Einstellungen!$B$1,Einstellungen!$B$1+1),MONTH(INDEX(Einstellungen!$B$15:$B$52,$V33)),DAY(INDEX(Einstellungen!$B$15:$B$52,$V33)))))</f>
        <v>22</v>
      </c>
      <c r="E33" s="1">
        <v>30</v>
      </c>
      <c r="F33" s="2" t="s">
        <v>168</v>
      </c>
      <c r="G33" s="3" t="s">
        <v>175</v>
      </c>
      <c r="H33" s="4" t="s">
        <v>172</v>
      </c>
      <c r="I33" s="4" t="s">
        <v>173</v>
      </c>
      <c r="J33" s="5" t="b">
        <v>0</v>
      </c>
      <c r="K33" s="6" t="s">
        <v>29</v>
      </c>
      <c r="L33" s="36" t="str">
        <f>IF($V33=0,"",IF(AND(INDEX(Einstellungen!$E$15:$E$52,$V33),INDEX(Einstellungen!$F$15:$F$52,$V33)),"1/2 Woche"&amp;CHAR(10)&amp;"1/2 Klasse",IF(INDEX(Einstellungen!$E$15:$E$52,$V33),"1/2 Woche",IF(INDEX(Einstellungen!$F$15:$F$52,$V33),"1/2 Klasse",""))))</f>
        <v/>
      </c>
      <c r="M33" s="7"/>
      <c r="P33" s="37" t="str">
        <f>IF(OR($V33=0,$E33&gt;Einstellungen!$B$3),"",IF(INDEX(Einstellungen!$D$15:$D$52,$V33),"","!"))</f>
        <v/>
      </c>
      <c r="Q33" s="37" t="str">
        <f t="shared" ref="Q33:Q40" si="18">IF($E33="","",IF(OR($U33=$F33,_xlfn.REGEXTEST($F33,"P$")),"","!"))</f>
        <v/>
      </c>
      <c r="R33" s="37" t="str">
        <f>IF($E33="","",IF($E33&lt;=Einstellungen!$B$3,"","!"))</f>
        <v/>
      </c>
      <c r="S33" s="37" t="str">
        <f>IF($E33="","",IF($E33&gt;$E31,"","!"))</f>
        <v/>
      </c>
      <c r="U33" s="26" t="str" cm="1">
        <f t="array" ref="U33">IFERROR(INDEX(_xlfn._xlws.FILTER(Lernbereiche!$A$4:$A$52,(Lernbereiche!$B$4:$B$52&lt;=$E33)*(Lernbereiche!$C$4:$C$52&gt;=$E33),""),1),"")</f>
        <v>M10.2</v>
      </c>
      <c r="V33" s="26">
        <f>IFERROR(MATCH($E33,Einstellungen!$A$15:$A$52,0),0)</f>
        <v>30</v>
      </c>
    </row>
    <row r="34" spans="1:22" ht="45.75" customHeight="1" x14ac:dyDescent="0.25">
      <c r="A34" s="21" t="str">
        <f t="shared" si="17"/>
        <v/>
      </c>
      <c r="B34" s="35" t="str">
        <f>IF($F34="","",$F34&amp;"-"&amp;TEXT(COUNTA($F$4:$F34),"00"))</f>
        <v>M10.2-25</v>
      </c>
      <c r="C34" s="35" t="str">
        <f>IF($V34=0,"",TEXT(INDEX(Einstellungen!$B$15:$B$52,$V34),"TT.MM")&amp;" - "&amp;TEXT(INDEX(Einstellungen!$C$15:$C$52,$V34),"TT.MM"))</f>
        <v>07.06 - 13.06</v>
      </c>
      <c r="D34" s="35">
        <f>IF($V34=0,"",_xlfn.ISOWEEKNUM(DATE(IF(MONTH(INDEX(Einstellungen!$B$15:$B$52,$V34))&gt;=9,Einstellungen!$B$1,Einstellungen!$B$1+1),MONTH(INDEX(Einstellungen!$B$15:$B$52,$V34)),DAY(INDEX(Einstellungen!$B$15:$B$52,$V34)))))</f>
        <v>23</v>
      </c>
      <c r="E34" s="1">
        <v>31</v>
      </c>
      <c r="F34" s="2" t="s">
        <v>168</v>
      </c>
      <c r="G34" s="3" t="s">
        <v>175</v>
      </c>
      <c r="H34" s="4" t="s">
        <v>172</v>
      </c>
      <c r="I34" s="4" t="s">
        <v>173</v>
      </c>
      <c r="J34" s="5" t="b">
        <v>0</v>
      </c>
      <c r="K34" s="6" t="s">
        <v>44</v>
      </c>
      <c r="L34" s="36" t="str">
        <f>IF($V34=0,"",IF(AND(INDEX(Einstellungen!$E$15:$E$52,$V34),INDEX(Einstellungen!$F$15:$F$52,$V34)),"1/2 Woche"&amp;CHAR(10)&amp;"1/2 Klasse",IF(INDEX(Einstellungen!$E$15:$E$52,$V34),"1/2 Woche",IF(INDEX(Einstellungen!$F$15:$F$52,$V34),"1/2 Klasse",""))))</f>
        <v/>
      </c>
      <c r="M34" s="7" t="s">
        <v>176</v>
      </c>
      <c r="P34" s="37" t="str">
        <f>IF(OR($V34=0,$E34&gt;Einstellungen!$B$3),"",IF(INDEX(Einstellungen!$D$15:$D$52,$V34),"","!"))</f>
        <v/>
      </c>
      <c r="Q34" s="37" t="str">
        <f t="shared" si="18"/>
        <v/>
      </c>
      <c r="R34" s="37" t="str">
        <f>IF($E34="","",IF($E34&lt;=Einstellungen!$B$3,"","!"))</f>
        <v/>
      </c>
      <c r="S34" s="37" t="str">
        <f t="shared" ref="S34:S40" si="19">IF($E34="","",IF($E34&gt;$E33,"","!"))</f>
        <v/>
      </c>
      <c r="U34" s="26" t="str" cm="1">
        <f t="array" ref="U34">IFERROR(INDEX(_xlfn._xlws.FILTER(Lernbereiche!$A$4:$A$52,(Lernbereiche!$B$4:$B$52&lt;=$E34)*(Lernbereiche!$C$4:$C$52&gt;=$E34),""),1),"")</f>
        <v>M10.2</v>
      </c>
      <c r="V34" s="26">
        <f>IFERROR(MATCH($E34,Einstellungen!$A$15:$A$52,0),0)</f>
        <v>31</v>
      </c>
    </row>
    <row r="35" spans="1:22" ht="45.75" customHeight="1" x14ac:dyDescent="0.25">
      <c r="A35" s="21" t="str">
        <f t="shared" si="17"/>
        <v/>
      </c>
      <c r="B35" s="35" t="str">
        <f>IF($F35="","",$F35&amp;"-"&amp;TEXT(COUNTA($F$4:$F35),"00"))</f>
        <v>M10.P-26</v>
      </c>
      <c r="C35" s="35" t="str">
        <f>IF($V35=0,"",TEXT(INDEX(Einstellungen!$B$15:$B$52,$V35),"TT.MM")&amp;" - "&amp;TEXT(INDEX(Einstellungen!$C$15:$C$52,$V35),"TT.MM"))</f>
        <v>14.06 - 20.06</v>
      </c>
      <c r="D35" s="35">
        <f>IF($V35=0,"",_xlfn.ISOWEEKNUM(DATE(IF(MONTH(INDEX(Einstellungen!$B$15:$B$52,$V35))&gt;=9,Einstellungen!$B$1,Einstellungen!$B$1+1),MONTH(INDEX(Einstellungen!$B$15:$B$52,$V35)),DAY(INDEX(Einstellungen!$B$15:$B$52,$V35)))))</f>
        <v>24</v>
      </c>
      <c r="E35" s="1">
        <v>32</v>
      </c>
      <c r="F35" s="2" t="s">
        <v>174</v>
      </c>
      <c r="G35" s="3" t="s">
        <v>175</v>
      </c>
      <c r="H35" s="4" t="s">
        <v>172</v>
      </c>
      <c r="I35" s="4"/>
      <c r="J35" s="5" t="b">
        <v>0</v>
      </c>
      <c r="K35" s="6" t="s">
        <v>24</v>
      </c>
      <c r="L35" s="36" t="str">
        <f>IF($V35=0,"",IF(AND(INDEX(Einstellungen!$E$15:$E$52,$V35),INDEX(Einstellungen!$F$15:$F$52,$V35)),"1/2 Woche"&amp;CHAR(10)&amp;"1/2 Klasse",IF(INDEX(Einstellungen!$E$15:$E$52,$V35),"1/2 Woche",IF(INDEX(Einstellungen!$F$15:$F$52,$V35),"1/2 Klasse",""))))</f>
        <v/>
      </c>
      <c r="M35" s="7"/>
      <c r="P35" s="37" t="str">
        <f>IF(OR($V35=0,$E35&gt;Einstellungen!$B$3),"",IF(INDEX(Einstellungen!$D$15:$D$52,$V35),"","!"))</f>
        <v/>
      </c>
      <c r="Q35" s="37" t="str">
        <f t="shared" si="18"/>
        <v/>
      </c>
      <c r="R35" s="37" t="str">
        <f>IF($E35="","",IF($E35&lt;=Einstellungen!$B$3,"","!"))</f>
        <v/>
      </c>
      <c r="S35" s="37" t="str">
        <f t="shared" si="19"/>
        <v/>
      </c>
      <c r="U35" s="26" t="str" cm="1">
        <f t="array" ref="U35">IFERROR(INDEX(_xlfn._xlws.FILTER(Lernbereiche!$A$4:$A$52,(Lernbereiche!$B$4:$B$52&lt;=$E35)*(Lernbereiche!$C$4:$C$52&gt;=$E35),""),1),"")</f>
        <v>M10.5</v>
      </c>
      <c r="V35" s="26">
        <f>IFERROR(MATCH($E35,Einstellungen!$A$15:$A$52,0),0)</f>
        <v>32</v>
      </c>
    </row>
    <row r="36" spans="1:22" ht="45.75" customHeight="1" x14ac:dyDescent="0.25">
      <c r="A36" s="21" t="str">
        <f t="shared" si="17"/>
        <v/>
      </c>
      <c r="B36" s="35" t="str">
        <f>IF($F36="","",$F36&amp;"-"&amp;TEXT(COUNTA($F$4:$F36),"00"))</f>
        <v>M10.P-27</v>
      </c>
      <c r="C36" s="35" t="str">
        <f>IF($V36=0,"",TEXT(INDEX(Einstellungen!$B$15:$B$52,$V36),"TT.MM")&amp;" - "&amp;TEXT(INDEX(Einstellungen!$C$15:$C$52,$V36),"TT.MM"))</f>
        <v>21.06 - 27.06</v>
      </c>
      <c r="D36" s="35">
        <f>IF($V36=0,"",_xlfn.ISOWEEKNUM(DATE(IF(MONTH(INDEX(Einstellungen!$B$15:$B$52,$V36))&gt;=9,Einstellungen!$B$1,Einstellungen!$B$1+1),MONTH(INDEX(Einstellungen!$B$15:$B$52,$V36)),DAY(INDEX(Einstellungen!$B$15:$B$52,$V36)))))</f>
        <v>25</v>
      </c>
      <c r="E36" s="1">
        <v>33</v>
      </c>
      <c r="F36" s="2" t="s">
        <v>174</v>
      </c>
      <c r="G36" s="3" t="s">
        <v>175</v>
      </c>
      <c r="H36" s="4" t="s">
        <v>172</v>
      </c>
      <c r="I36" s="4"/>
      <c r="J36" s="5" t="b">
        <v>0</v>
      </c>
      <c r="K36" s="6" t="s">
        <v>79</v>
      </c>
      <c r="L36" s="36" t="str">
        <f>IF($V36=0,"",IF(AND(INDEX(Einstellungen!$E$15:$E$52,$V36),INDEX(Einstellungen!$F$15:$F$52,$V36)),"1/2 Woche"&amp;CHAR(10)&amp;"1/2 Klasse",IF(INDEX(Einstellungen!$E$15:$E$52,$V36),"1/2 Woche",IF(INDEX(Einstellungen!$F$15:$F$52,$V36),"1/2 Klasse",""))))</f>
        <v/>
      </c>
      <c r="M36" s="7"/>
      <c r="P36" s="37" t="str">
        <f>IF(OR($V36=0,$E36&gt;Einstellungen!$B$3),"",IF(INDEX(Einstellungen!$D$15:$D$52,$V36),"","!"))</f>
        <v/>
      </c>
      <c r="Q36" s="37" t="str">
        <f t="shared" si="18"/>
        <v/>
      </c>
      <c r="R36" s="37" t="str">
        <f>IF($E36="","",IF($E36&lt;=Einstellungen!$B$3,"","!"))</f>
        <v/>
      </c>
      <c r="S36" s="37" t="str">
        <f t="shared" si="19"/>
        <v/>
      </c>
      <c r="U36" s="26" t="str" cm="1">
        <f t="array" ref="U36">IFERROR(INDEX(_xlfn._xlws.FILTER(Lernbereiche!$A$4:$A$52,(Lernbereiche!$B$4:$B$52&lt;=$E36)*(Lernbereiche!$C$4:$C$52&gt;=$E36),""),1),"")</f>
        <v>M10.5</v>
      </c>
      <c r="V36" s="26">
        <f>IFERROR(MATCH($E36,Einstellungen!$A$15:$A$52,0),0)</f>
        <v>33</v>
      </c>
    </row>
    <row r="37" spans="1:22" ht="45.75" customHeight="1" x14ac:dyDescent="0.25">
      <c r="A37" s="21" t="str">
        <f t="shared" si="17"/>
        <v/>
      </c>
      <c r="B37" s="35" t="str">
        <f>IF($F37="","",$F37&amp;"-"&amp;TEXT(COUNTA($F$4:$F37),"00"))</f>
        <v>M10.5-28</v>
      </c>
      <c r="C37" s="35" t="str">
        <f>IF($V37=0,"",TEXT(INDEX(Einstellungen!$B$15:$B$52,$V37),"TT.MM")&amp;" - "&amp;TEXT(INDEX(Einstellungen!$C$15:$C$52,$V37),"TT.MM"))</f>
        <v>28.06 - 04.07</v>
      </c>
      <c r="D37" s="35">
        <f>IF($V37=0,"",_xlfn.ISOWEEKNUM(DATE(IF(MONTH(INDEX(Einstellungen!$B$15:$B$52,$V37))&gt;=9,Einstellungen!$B$1,Einstellungen!$B$1+1),MONTH(INDEX(Einstellungen!$B$15:$B$52,$V37)),DAY(INDEX(Einstellungen!$B$15:$B$52,$V37)))))</f>
        <v>26</v>
      </c>
      <c r="E37" s="1">
        <v>34</v>
      </c>
      <c r="F37" s="2" t="s">
        <v>170</v>
      </c>
      <c r="G37" s="3" t="s">
        <v>171</v>
      </c>
      <c r="H37" s="4" t="s">
        <v>172</v>
      </c>
      <c r="I37" s="4"/>
      <c r="J37" s="5" t="b">
        <v>0</v>
      </c>
      <c r="K37" s="6" t="s">
        <v>8</v>
      </c>
      <c r="L37" s="36" t="str">
        <f>IF($V37=0,"",IF(AND(INDEX(Einstellungen!$E$15:$E$52,$V37),INDEX(Einstellungen!$F$15:$F$52,$V37)),"1/2 Woche"&amp;CHAR(10)&amp;"1/2 Klasse",IF(INDEX(Einstellungen!$E$15:$E$52,$V37),"1/2 Woche",IF(INDEX(Einstellungen!$F$15:$F$52,$V37),"1/2 Klasse",""))))</f>
        <v/>
      </c>
      <c r="M37" s="7"/>
      <c r="P37" s="37" t="str">
        <f>IF(OR($V37=0,$E37&gt;Einstellungen!$B$3),"",IF(INDEX(Einstellungen!$D$15:$D$52,$V37),"","!"))</f>
        <v/>
      </c>
      <c r="Q37" s="37" t="str">
        <f t="shared" si="18"/>
        <v/>
      </c>
      <c r="R37" s="37" t="str">
        <f>IF($E37="","",IF($E37&lt;=Einstellungen!$B$3,"","!"))</f>
        <v/>
      </c>
      <c r="S37" s="37" t="str">
        <f t="shared" si="19"/>
        <v/>
      </c>
      <c r="U37" s="26" t="str" cm="1">
        <f t="array" ref="U37">IFERROR(INDEX(_xlfn._xlws.FILTER(Lernbereiche!$A$4:$A$52,(Lernbereiche!$B$4:$B$52&lt;=$E37)*(Lernbereiche!$C$4:$C$52&gt;=$E37),""),1),"")</f>
        <v>M10.5</v>
      </c>
      <c r="V37" s="26">
        <f>IFERROR(MATCH($E37,Einstellungen!$A$15:$A$52,0),0)</f>
        <v>34</v>
      </c>
    </row>
    <row r="38" spans="1:22" ht="45.75" customHeight="1" x14ac:dyDescent="0.25">
      <c r="A38" s="21" t="str">
        <f t="shared" si="17"/>
        <v/>
      </c>
      <c r="B38" s="35" t="str">
        <f>IF($F38="","",$F38&amp;"-"&amp;TEXT(COUNTA($F$4:$F38),"00"))</f>
        <v>M10.5-29</v>
      </c>
      <c r="C38" s="35" t="str">
        <f>IF($V38=0,"",TEXT(INDEX(Einstellungen!$B$15:$B$52,$V38),"TT.MM")&amp;" - "&amp;TEXT(INDEX(Einstellungen!$C$15:$C$52,$V38),"TT.MM"))</f>
        <v>05.07 - 11.07</v>
      </c>
      <c r="D38" s="35">
        <f>IF($V38=0,"",_xlfn.ISOWEEKNUM(DATE(IF(MONTH(INDEX(Einstellungen!$B$15:$B$52,$V38))&gt;=9,Einstellungen!$B$1,Einstellungen!$B$1+1),MONTH(INDEX(Einstellungen!$B$15:$B$52,$V38)),DAY(INDEX(Einstellungen!$B$15:$B$52,$V38)))))</f>
        <v>27</v>
      </c>
      <c r="E38" s="1">
        <v>35</v>
      </c>
      <c r="F38" s="2" t="s">
        <v>170</v>
      </c>
      <c r="G38" s="3" t="s">
        <v>171</v>
      </c>
      <c r="H38" s="4" t="s">
        <v>172</v>
      </c>
      <c r="I38" s="4"/>
      <c r="J38" s="5" t="b">
        <v>0</v>
      </c>
      <c r="K38" s="6" t="s">
        <v>8</v>
      </c>
      <c r="L38" s="36" t="str">
        <f>IF($V38=0,"",IF(AND(INDEX(Einstellungen!$E$15:$E$52,$V38),INDEX(Einstellungen!$F$15:$F$52,$V38)),"1/2 Woche"&amp;CHAR(10)&amp;"1/2 Klasse",IF(INDEX(Einstellungen!$E$15:$E$52,$V38),"1/2 Woche",IF(INDEX(Einstellungen!$F$15:$F$52,$V38),"1/2 Klasse",""))))</f>
        <v/>
      </c>
      <c r="M38" s="7"/>
      <c r="P38" s="37" t="str">
        <f>IF(OR($V38=0,$E38&gt;Einstellungen!$B$3),"",IF(INDEX(Einstellungen!$D$15:$D$52,$V38),"","!"))</f>
        <v/>
      </c>
      <c r="Q38" s="37" t="str">
        <f t="shared" si="18"/>
        <v/>
      </c>
      <c r="R38" s="37" t="str">
        <f>IF($E38="","",IF($E38&lt;=Einstellungen!$B$3,"","!"))</f>
        <v/>
      </c>
      <c r="S38" s="37" t="str">
        <f t="shared" si="19"/>
        <v/>
      </c>
      <c r="U38" s="26" t="str" cm="1">
        <f t="array" ref="U38">IFERROR(INDEX(_xlfn._xlws.FILTER(Lernbereiche!$A$4:$A$52,(Lernbereiche!$B$4:$B$52&lt;=$E38)*(Lernbereiche!$C$4:$C$52&gt;=$E38),""),1),"")</f>
        <v>M10.5</v>
      </c>
      <c r="V38" s="26">
        <f>IFERROR(MATCH($E38,Einstellungen!$A$15:$A$52,0),0)</f>
        <v>35</v>
      </c>
    </row>
    <row r="39" spans="1:22" ht="45.75" customHeight="1" x14ac:dyDescent="0.25">
      <c r="A39" s="21" t="str">
        <f t="shared" si="17"/>
        <v/>
      </c>
      <c r="B39" s="35" t="str">
        <f>IF($F39="","",$F39&amp;"-"&amp;TEXT(COUNTA($F$4:$F39),"00"))</f>
        <v>M10.5-30</v>
      </c>
      <c r="C39" s="35" t="str">
        <f>IF($V39=0,"",TEXT(INDEX(Einstellungen!$B$15:$B$52,$V39),"TT.MM")&amp;" - "&amp;TEXT(INDEX(Einstellungen!$C$15:$C$52,$V39),"TT.MM"))</f>
        <v>12.07 - 18.07</v>
      </c>
      <c r="D39" s="35">
        <f>IF($V39=0,"",_xlfn.ISOWEEKNUM(DATE(IF(MONTH(INDEX(Einstellungen!$B$15:$B$52,$V39))&gt;=9,Einstellungen!$B$1,Einstellungen!$B$1+1),MONTH(INDEX(Einstellungen!$B$15:$B$52,$V39)),DAY(INDEX(Einstellungen!$B$15:$B$52,$V39)))))</f>
        <v>28</v>
      </c>
      <c r="E39" s="1">
        <v>36</v>
      </c>
      <c r="F39" s="2" t="s">
        <v>170</v>
      </c>
      <c r="G39" s="3" t="s">
        <v>171</v>
      </c>
      <c r="H39" s="4" t="s">
        <v>172</v>
      </c>
      <c r="I39" s="4"/>
      <c r="J39" s="5" t="b">
        <v>0</v>
      </c>
      <c r="K39" s="6" t="s">
        <v>8</v>
      </c>
      <c r="L39" s="36" t="str">
        <f>IF($V39=0,"",IF(AND(INDEX(Einstellungen!$E$15:$E$52,$V39),INDEX(Einstellungen!$F$15:$F$52,$V39)),"1/2 Woche"&amp;CHAR(10)&amp;"1/2 Klasse",IF(INDEX(Einstellungen!$E$15:$E$52,$V39),"1/2 Woche",IF(INDEX(Einstellungen!$F$15:$F$52,$V39),"1/2 Klasse",""))))</f>
        <v/>
      </c>
      <c r="M39" s="7"/>
      <c r="P39" s="37" t="str">
        <f>IF(OR($V39=0,$E39&gt;Einstellungen!$B$3),"",IF(INDEX(Einstellungen!$D$15:$D$52,$V39),"","!"))</f>
        <v/>
      </c>
      <c r="Q39" s="37" t="str">
        <f t="shared" si="18"/>
        <v/>
      </c>
      <c r="R39" s="37" t="str">
        <f>IF($E39="","",IF($E39&lt;=Einstellungen!$B$3,"","!"))</f>
        <v/>
      </c>
      <c r="S39" s="37" t="str">
        <f t="shared" si="19"/>
        <v/>
      </c>
      <c r="U39" s="26" t="str" cm="1">
        <f t="array" ref="U39">IFERROR(INDEX(_xlfn._xlws.FILTER(Lernbereiche!$A$4:$A$52,(Lernbereiche!$B$4:$B$52&lt;=$E39)*(Lernbereiche!$C$4:$C$52&gt;=$E39),""),1),"")</f>
        <v>M10.5</v>
      </c>
      <c r="V39" s="26">
        <f>IFERROR(MATCH($E39,Einstellungen!$A$15:$A$52,0),0)</f>
        <v>36</v>
      </c>
    </row>
    <row r="40" spans="1:22" ht="45.75" customHeight="1" x14ac:dyDescent="0.25">
      <c r="A40" s="21" t="str">
        <f t="shared" si="17"/>
        <v/>
      </c>
      <c r="B40" s="35" t="str">
        <f>IF($F40="","",$F40&amp;"-"&amp;TEXT(COUNTA($F$4:$F40),"00"))</f>
        <v>M10.5-31</v>
      </c>
      <c r="C40" s="35" t="str">
        <f>IF($V40=0,"",TEXT(INDEX(Einstellungen!$B$15:$B$52,$V40),"TT.MM")&amp;" - "&amp;TEXT(INDEX(Einstellungen!$C$15:$C$52,$V40),"TT.MM"))</f>
        <v>19.07 - 25.07</v>
      </c>
      <c r="D40" s="35">
        <f>IF($V40=0,"",_xlfn.ISOWEEKNUM(DATE(IF(MONTH(INDEX(Einstellungen!$B$15:$B$52,$V40))&gt;=9,Einstellungen!$B$1,Einstellungen!$B$1+1),MONTH(INDEX(Einstellungen!$B$15:$B$52,$V40)),DAY(INDEX(Einstellungen!$B$15:$B$52,$V40)))))</f>
        <v>29</v>
      </c>
      <c r="E40" s="1">
        <v>37</v>
      </c>
      <c r="F40" s="2" t="s">
        <v>170</v>
      </c>
      <c r="G40" s="3" t="s">
        <v>171</v>
      </c>
      <c r="H40" s="4" t="s">
        <v>172</v>
      </c>
      <c r="I40" s="4"/>
      <c r="J40" s="5" t="b">
        <v>0</v>
      </c>
      <c r="K40" s="6" t="s">
        <v>8</v>
      </c>
      <c r="L40" s="36" t="str">
        <f>IF($V40=0,"",IF(AND(INDEX(Einstellungen!$E$15:$E$52,$V40),INDEX(Einstellungen!$F$15:$F$52,$V40)),"1/2 Woche"&amp;CHAR(10)&amp;"1/2 Klasse",IF(INDEX(Einstellungen!$E$15:$E$52,$V40),"1/2 Woche",IF(INDEX(Einstellungen!$F$15:$F$52,$V40),"1/2 Klasse",""))))</f>
        <v/>
      </c>
      <c r="M40" s="7"/>
      <c r="P40" s="37" t="str">
        <f>IF(OR($V40=0,$E40&gt;Einstellungen!$B$3),"",IF(INDEX(Einstellungen!$D$15:$D$52,$V40),"","!"))</f>
        <v/>
      </c>
      <c r="Q40" s="37" t="str">
        <f t="shared" si="18"/>
        <v/>
      </c>
      <c r="R40" s="37" t="str">
        <f>IF($E40="","",IF($E40&lt;=Einstellungen!$B$3,"","!"))</f>
        <v/>
      </c>
      <c r="S40" s="37" t="str">
        <f t="shared" si="19"/>
        <v/>
      </c>
      <c r="U40" s="26" t="str" cm="1">
        <f t="array" ref="U40">IFERROR(INDEX(_xlfn._xlws.FILTER(Lernbereiche!$A$4:$A$52,(Lernbereiche!$B$4:$B$52&lt;=$E40)*(Lernbereiche!$C$4:$C$52&gt;=$E40),""),1),"")</f>
        <v>M10.5</v>
      </c>
      <c r="V40" s="26">
        <f>IFERROR(MATCH($E40,Einstellungen!$A$15:$A$52,0),0)</f>
        <v>37</v>
      </c>
    </row>
  </sheetData>
  <sheetProtection algorithmName="SHA-512" hashValue="lE/MqRnGpi6p0GJKgCILApeBO2nT0AS4uDirhM1cDShs0DH+GcdlZp7mUJZOVY5eLLWlaLqgfHQyTz4QRoSTAQ==" saltValue="NAcgLa7SHQxzOyrKeOk5MA==" spinCount="100000" sheet="1" formatColumns="0" formatRows="0"/>
  <mergeCells count="8">
    <mergeCell ref="B1:F1"/>
    <mergeCell ref="G1:L1"/>
    <mergeCell ref="B32:M32"/>
    <mergeCell ref="B25:M25"/>
    <mergeCell ref="B20:M20"/>
    <mergeCell ref="B16:M16"/>
    <mergeCell ref="B13:M13"/>
    <mergeCell ref="B8:M8"/>
  </mergeCells>
  <conditionalFormatting sqref="B33:M40 B32 B26:M31 B25 B21:M24 B20 B17:M19 B16 B14:M15 B13 B4:M7 B9:M12 B8">
    <cfRule type="expression" dxfId="7" priority="1">
      <formula>INDIRECT("J"&amp;ROW())</formula>
    </cfRule>
  </conditionalFormatting>
  <dataValidations count="1">
    <dataValidation allowBlank="1" sqref="J33:J40 J26:J31 J21:J24 J17:J19 J14:J15 J4:J7 J9:J12" xr:uid="{00000000-0002-0000-0100-000000000000}">
      <formula1>0</formula1>
      <formula2>0</formula2>
    </dataValidation>
  </dataValidations>
  <printOptions horizontalCentered="1"/>
  <pageMargins left="0.39370078740157477" right="0.39370078740157477" top="0.4724409448818897" bottom="0.4724409448818897" header="0.15748031496062995" footer="0.23622047244094485"/>
  <pageSetup paperSize="8" scale="74" fitToHeight="0" orientation="landscape" r:id="rId1"/>
  <headerFooter>
    <oddFooter>&amp;C&amp;8Seite &amp;P von &amp;N</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46" id="{00000000-000E-0000-0100-000002000000}">
            <xm:f>MATCH(INDIRECT("K"&amp;ROW()),Einstellungen!$M$2:$M$6,0)=1</xm:f>
            <x14:dxf>
              <fill>
                <patternFill>
                  <bgColor rgb="FFC4E3F2"/>
                </patternFill>
              </fill>
            </x14:dxf>
          </x14:cfRule>
          <x14:cfRule type="expression" priority="47" id="{00000000-000E-0000-0100-000003000000}">
            <xm:f>MATCH(INDIRECT("K"&amp;ROW()),Einstellungen!$M$2:$M$6,0)=2</xm:f>
            <x14:dxf>
              <fill>
                <patternFill>
                  <bgColor rgb="FFCACFFA"/>
                </patternFill>
              </fill>
            </x14:dxf>
          </x14:cfRule>
          <x14:cfRule type="expression" priority="48" id="{00000000-000E-0000-0100-000004000000}">
            <xm:f>MATCH(INDIRECT("K"&amp;ROW()),Einstellungen!$M$2:$M$6,0)=3</xm:f>
            <x14:dxf>
              <font>
                <b/>
                <i val="0"/>
                <color theme="0"/>
              </font>
              <fill>
                <patternFill>
                  <bgColor theme="5" tint="-0.499984740745262"/>
                </patternFill>
              </fill>
            </x14:dxf>
          </x14:cfRule>
          <x14:cfRule type="expression" priority="49" id="{00000000-000E-0000-0100-000006000000}">
            <xm:f>MATCH(INDIRECT("K"&amp;ROW()),Einstellungen!$M$2:$M$6,0)=4</xm:f>
            <x14:dxf>
              <fill>
                <patternFill>
                  <bgColor rgb="FFD9D2E9"/>
                </patternFill>
              </fill>
            </x14:dxf>
          </x14:cfRule>
          <x14:cfRule type="expression" priority="50" id="{17032196-A9F8-4E3C-A08D-5DAD70BDFBAF}">
            <xm:f>MATCH(INDIRECT("K"&amp;ROW()),Einstellungen!$M$2:$M$6,0)=5</xm:f>
            <x14:dxf>
              <font>
                <b val="0"/>
                <i/>
              </font>
              <fill>
                <patternFill>
                  <bgColor rgb="FFEFE4D5"/>
                </patternFill>
              </fill>
            </x14:dxf>
          </x14:cfRule>
          <x14:cfRule type="expression" priority="51" id="{B6570196-BFBE-4FAA-955D-10038CF8BD25}">
            <xm:f>INDEX(Einstellungen!$F$15:$F$52,INDIRECT("V"&amp;ROW()))</xm:f>
            <x14:dxf>
              <font>
                <b/>
                <i/>
                <color rgb="FFB58307"/>
              </font>
            </x14:dxf>
          </x14:cfRule>
          <x14:cfRule type="expression" priority="52" id="{B75BAEA1-EA03-40A0-8532-B96A6D68D3FC}">
            <xm:f>INDEX(Einstellungen!$E$15:$E$52,INDIRECT("V"&amp;ROW()))</xm:f>
            <x14:dxf>
              <font>
                <b/>
                <i/>
                <u val="none"/>
                <color rgb="FF4B537D"/>
              </font>
            </x14:dxf>
          </x14:cfRule>
          <xm:sqref>B33:M40 B32 B26:M31 B25 B21:M24 B20 B17:M19 B16 B14:M15 B13 B4:M7 B9:M12 B8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ErrorMessage="1" errorTitle="Ungültige Eingabe" error="Bitte einen Wert aus der Liste wählen." xr:uid="{2FF2E26A-A970-4782-B07D-220C99B587D5}">
          <x14:formula1>
            <xm:f>Einstellungen!$M$2:$M$6</xm:f>
          </x14:formula1>
          <xm:sqref>K4:K7</xm:sqref>
        </x14:dataValidation>
        <x14:dataValidation type="list" allowBlank="1" showErrorMessage="1" errorTitle="Ungültige Eingabe" error="Bitte einen Wert aus der Liste wählen." xr:uid="{682AE90D-28E5-46A0-B4A2-F5E71D2159D5}">
          <x14:formula1>
            <xm:f>Einstellungen!$M$2:$M$6</xm:f>
          </x14:formula1>
          <xm:sqref>K9:K12</xm:sqref>
        </x14:dataValidation>
        <x14:dataValidation type="list" allowBlank="1" showErrorMessage="1" errorTitle="Ungültige Eingabe" error="Bitte einen Wert aus der Liste wählen." xr:uid="{8E337DF3-9AF6-454B-925D-A2694868E6EC}">
          <x14:formula1>
            <xm:f>Einstellungen!$M$2:$M$6</xm:f>
          </x14:formula1>
          <xm:sqref>K14:K15</xm:sqref>
        </x14:dataValidation>
        <x14:dataValidation type="list" allowBlank="1" showErrorMessage="1" errorTitle="Ungültige Eingabe" error="Bitte einen Wert aus der Liste wählen." xr:uid="{A256DD0E-DA3C-4ABF-8EF9-8B8490761AF6}">
          <x14:formula1>
            <xm:f>Einstellungen!$M$2:$M$6</xm:f>
          </x14:formula1>
          <xm:sqref>K17:K19</xm:sqref>
        </x14:dataValidation>
        <x14:dataValidation type="list" allowBlank="1" showErrorMessage="1" errorTitle="Ungültige Eingabe" error="Bitte einen Wert aus der Liste wählen." xr:uid="{94BB8885-E18B-42F1-83CF-9FF43B0082B6}">
          <x14:formula1>
            <xm:f>Einstellungen!$M$2:$M$6</xm:f>
          </x14:formula1>
          <xm:sqref>K21:K24</xm:sqref>
        </x14:dataValidation>
        <x14:dataValidation type="list" allowBlank="1" showErrorMessage="1" errorTitle="Ungültige Eingabe" error="Bitte einen Wert aus der Liste wählen." xr:uid="{6F6407D9-2A62-4FB8-9AF9-8F8C1BC27D28}">
          <x14:formula1>
            <xm:f>Einstellungen!$M$2:$M$6</xm:f>
          </x14:formula1>
          <xm:sqref>K26:K31</xm:sqref>
        </x14:dataValidation>
        <x14:dataValidation type="list" allowBlank="1" showErrorMessage="1" errorTitle="Ungültige Eingabe" error="Bitte einen Wert aus der Liste wählen." xr:uid="{D4F0FD4D-777C-4FEF-BBF5-58FCBB3C128D}">
          <x14:formula1>
            <xm:f>Einstellungen!$M$2:$M$6</xm:f>
          </x14:formula1>
          <xm:sqref>K33:K40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J50"/>
  <sheetViews>
    <sheetView showGridLines="0" zoomScaleNormal="100" workbookViewId="0">
      <pane ySplit="3" topLeftCell="A4" activePane="bottomLeft" state="frozen"/>
      <selection pane="bottomLeft" sqref="A1:C1"/>
    </sheetView>
  </sheetViews>
  <sheetFormatPr baseColWidth="10" defaultColWidth="8.7109375" defaultRowHeight="15" x14ac:dyDescent="0.25"/>
  <cols>
    <col min="1" max="1" width="16.140625" style="26" customWidth="1"/>
    <col min="2" max="2" width="18.85546875" style="26" customWidth="1"/>
    <col min="3" max="3" width="18.7109375" style="26" customWidth="1"/>
    <col min="4" max="4" width="34" style="26" customWidth="1"/>
    <col min="5" max="5" width="11.7109375" style="26" customWidth="1"/>
    <col min="6" max="6" width="13.42578125" style="26" customWidth="1"/>
    <col min="7" max="8" width="16" style="26" customWidth="1"/>
    <col min="9" max="9" width="17.28515625" style="26" customWidth="1"/>
    <col min="10" max="10" width="100.85546875" style="26" customWidth="1"/>
    <col min="11" max="16384" width="8.7109375" style="26"/>
  </cols>
  <sheetData>
    <row r="1" spans="1:10" ht="33.950000000000003" customHeight="1" thickBot="1" x14ac:dyDescent="0.3">
      <c r="A1" s="22"/>
      <c r="B1" s="23"/>
      <c r="C1" s="23"/>
      <c r="D1" s="24" t="s">
        <v>177</v>
      </c>
      <c r="E1" s="24"/>
      <c r="F1" s="24"/>
      <c r="G1" s="24"/>
      <c r="H1" s="24"/>
      <c r="I1" s="24"/>
      <c r="J1" s="25" t="s">
        <v>178</v>
      </c>
    </row>
    <row r="2" spans="1:10" ht="6" customHeight="1" x14ac:dyDescent="0.25">
      <c r="A2" s="27"/>
      <c r="B2" s="27"/>
      <c r="C2" s="27"/>
      <c r="D2" s="27"/>
      <c r="E2" s="27"/>
      <c r="F2" s="27"/>
      <c r="G2" s="27"/>
      <c r="H2" s="27"/>
      <c r="I2" s="27"/>
      <c r="J2" s="27"/>
    </row>
    <row r="3" spans="1:10" ht="47.25" customHeight="1" x14ac:dyDescent="0.25">
      <c r="A3" s="30" t="s">
        <v>1</v>
      </c>
      <c r="B3" s="30" t="s">
        <v>9</v>
      </c>
      <c r="C3" s="30" t="s">
        <v>10</v>
      </c>
      <c r="D3" s="30" t="s">
        <v>11</v>
      </c>
      <c r="E3" s="30" t="s">
        <v>12</v>
      </c>
      <c r="F3" s="30" t="s">
        <v>13</v>
      </c>
      <c r="G3" s="30" t="s">
        <v>14</v>
      </c>
      <c r="H3" s="30" t="s">
        <v>15</v>
      </c>
      <c r="I3" s="30" t="s">
        <v>16</v>
      </c>
      <c r="J3" s="30" t="s">
        <v>17</v>
      </c>
    </row>
    <row r="4" spans="1:10" ht="98.25" customHeight="1" x14ac:dyDescent="0.25">
      <c r="A4" s="14" t="s">
        <v>161</v>
      </c>
      <c r="B4" s="14">
        <v>4</v>
      </c>
      <c r="C4" s="14">
        <v>8</v>
      </c>
      <c r="D4" s="3" t="s">
        <v>162</v>
      </c>
      <c r="E4" s="2">
        <v>18</v>
      </c>
      <c r="F4" s="47">
        <f>ROUNDUP(E4/Einstellungen!$B$2,0)</f>
        <v>6</v>
      </c>
      <c r="G4" s="47">
        <f>IF(H4="","",H4*Einstellungen!$B$2)</f>
        <v>15</v>
      </c>
      <c r="H4" s="47">
        <f>IF(OR(B4="",C4=""),"",INDEX(Einstellungen!$G$15:$G$52,MATCH(C4,Einstellungen!$A$15:$A$52,0))-IF(B4=1,0,INDEX(Einstellungen!$G$15:$G$52,MATCH(B4-1,Einstellungen!$A$15:$A$52,0))))</f>
        <v>5</v>
      </c>
      <c r="I4" s="47">
        <f>IF(OR(B4="",C4=""),"",IF(B4=1,Einstellungen!$B$4,INDEX(Einstellungen!$H$15:$H$52,MATCH(B4-1,Einstellungen!$A$15:$A$52,0)))-H4)</f>
        <v>25.5</v>
      </c>
      <c r="J4" s="4" t="s">
        <v>163</v>
      </c>
    </row>
    <row r="5" spans="1:10" ht="98.25" customHeight="1" x14ac:dyDescent="0.25">
      <c r="A5" s="14" t="s">
        <v>164</v>
      </c>
      <c r="B5" s="14">
        <v>9</v>
      </c>
      <c r="C5" s="14">
        <v>20</v>
      </c>
      <c r="D5" s="3" t="s">
        <v>165</v>
      </c>
      <c r="E5" s="2">
        <v>17</v>
      </c>
      <c r="F5" s="47">
        <f>ROUNDUP(E5/Einstellungen!$B$2,0)</f>
        <v>6</v>
      </c>
      <c r="G5" s="47">
        <f>IF(H5="","",H5*Einstellungen!$B$2)</f>
        <v>28.5</v>
      </c>
      <c r="H5" s="47">
        <f>IF(OR(B5="",C5=""),"",INDEX(Einstellungen!$G$15:$G$52,MATCH(C5,Einstellungen!$A$15:$A$52,0))-IF(B5=1,0,INDEX(Einstellungen!$G$15:$G$52,MATCH(B5-1,Einstellungen!$A$15:$A$52,0))))</f>
        <v>9.5</v>
      </c>
      <c r="I5" s="47">
        <f>IF(OR(B5="",C5=""),"",IF(B5=1,Einstellungen!$B$4,INDEX(Einstellungen!$H$15:$H$52,MATCH(B5-1,Einstellungen!$A$15:$A$52,0)))-H5)</f>
        <v>16</v>
      </c>
      <c r="J5" s="4" t="s">
        <v>163</v>
      </c>
    </row>
    <row r="6" spans="1:10" ht="98.25" customHeight="1" x14ac:dyDescent="0.25">
      <c r="A6" s="14" t="s">
        <v>166</v>
      </c>
      <c r="B6" s="14">
        <v>21</v>
      </c>
      <c r="C6" s="14">
        <v>27</v>
      </c>
      <c r="D6" s="3" t="s">
        <v>167</v>
      </c>
      <c r="E6" s="2">
        <v>12</v>
      </c>
      <c r="F6" s="47">
        <f>ROUNDUP(E6/Einstellungen!$B$2,0)</f>
        <v>4</v>
      </c>
      <c r="G6" s="47">
        <f>IF(H6="","",H6*Einstellungen!$B$2)</f>
        <v>18</v>
      </c>
      <c r="H6" s="47">
        <f>IF(OR(B6="",C6=""),"",INDEX(Einstellungen!$G$15:$G$52,MATCH(C6,Einstellungen!$A$15:$A$52,0))-IF(B6=1,0,INDEX(Einstellungen!$G$15:$G$52,MATCH(B6-1,Einstellungen!$A$15:$A$52,0))))</f>
        <v>6</v>
      </c>
      <c r="I6" s="47">
        <f>IF(OR(B6="",C6=""),"",IF(B6=1,Einstellungen!$B$4,INDEX(Einstellungen!$H$15:$H$52,MATCH(B6-1,Einstellungen!$A$15:$A$52,0)))-H6)</f>
        <v>10</v>
      </c>
      <c r="J6" s="4" t="s">
        <v>163</v>
      </c>
    </row>
    <row r="7" spans="1:10" ht="98.25" customHeight="1" x14ac:dyDescent="0.25">
      <c r="A7" s="14" t="s">
        <v>168</v>
      </c>
      <c r="B7" s="14">
        <v>28</v>
      </c>
      <c r="C7" s="14">
        <v>31</v>
      </c>
      <c r="D7" s="3" t="s">
        <v>169</v>
      </c>
      <c r="E7" s="2">
        <v>15</v>
      </c>
      <c r="F7" s="47">
        <f>ROUNDUP(E7/Einstellungen!$B$2,0)</f>
        <v>5</v>
      </c>
      <c r="G7" s="47">
        <f>IF(H7="","",H7*Einstellungen!$B$2)</f>
        <v>12</v>
      </c>
      <c r="H7" s="47">
        <f>IF(OR(B7="",C7=""),"",INDEX(Einstellungen!$G$15:$G$52,MATCH(C7,Einstellungen!$A$15:$A$52,0))-IF(B7=1,0,INDEX(Einstellungen!$G$15:$G$52,MATCH(B7-1,Einstellungen!$A$15:$A$52,0))))</f>
        <v>4</v>
      </c>
      <c r="I7" s="47">
        <f>IF(OR(B7="",C7=""),"",IF(B7=1,Einstellungen!$B$4,INDEX(Einstellungen!$H$15:$H$52,MATCH(B7-1,Einstellungen!$A$15:$A$52,0)))-H7)</f>
        <v>6</v>
      </c>
      <c r="J7" s="4" t="s">
        <v>163</v>
      </c>
    </row>
    <row r="8" spans="1:10" ht="98.25" customHeight="1" x14ac:dyDescent="0.25">
      <c r="A8" s="14" t="s">
        <v>170</v>
      </c>
      <c r="B8" s="14">
        <v>32</v>
      </c>
      <c r="C8" s="14">
        <v>37</v>
      </c>
      <c r="D8" s="3" t="s">
        <v>171</v>
      </c>
      <c r="E8" s="2">
        <v>22</v>
      </c>
      <c r="F8" s="47">
        <f>ROUNDUP(E8/Einstellungen!$B$2,0)</f>
        <v>8</v>
      </c>
      <c r="G8" s="47">
        <f>IF(H8="","",H8*Einstellungen!$B$2)</f>
        <v>18</v>
      </c>
      <c r="H8" s="47">
        <f>IF(OR(B8="",C8=""),"",INDEX(Einstellungen!$G$15:$G$52,MATCH(C8,Einstellungen!$A$15:$A$52,0))-IF(B8=1,0,INDEX(Einstellungen!$G$15:$G$52,MATCH(B8-1,Einstellungen!$A$15:$A$52,0))))</f>
        <v>6</v>
      </c>
      <c r="I8" s="47">
        <f>IF(OR(B8="",C8=""),"",IF(B8=1,Einstellungen!$B$4,INDEX(Einstellungen!$H$15:$H$52,MATCH(B8-1,Einstellungen!$A$15:$A$52,0)))-H8)</f>
        <v>0</v>
      </c>
      <c r="J8" s="4" t="s">
        <v>163</v>
      </c>
    </row>
    <row r="9" spans="1:10" x14ac:dyDescent="0.25">
      <c r="A9" s="12"/>
      <c r="B9" s="12"/>
      <c r="C9" s="12"/>
      <c r="D9" s="15" t="s">
        <v>18</v>
      </c>
      <c r="E9" s="48">
        <f>SUM(E4:E8)</f>
        <v>84</v>
      </c>
      <c r="F9" s="48">
        <f>SUM(F4:F8)</f>
        <v>29</v>
      </c>
      <c r="G9" s="48">
        <f>SUM(G4:G8)</f>
        <v>91.5</v>
      </c>
      <c r="H9" s="48">
        <f>SUM(H4:H8)</f>
        <v>30.5</v>
      </c>
      <c r="I9" s="16"/>
      <c r="J9" s="17" t="s">
        <v>78</v>
      </c>
    </row>
    <row r="10" spans="1:10" x14ac:dyDescent="0.25">
      <c r="A10" s="12"/>
      <c r="B10" s="12"/>
      <c r="C10" s="12"/>
      <c r="D10" s="12"/>
      <c r="E10" s="12"/>
      <c r="F10" s="12"/>
      <c r="G10" s="12"/>
      <c r="H10" s="12"/>
      <c r="I10" s="12"/>
      <c r="J10" s="12"/>
    </row>
    <row r="11" spans="1:10" x14ac:dyDescent="0.25">
      <c r="A11" s="12"/>
      <c r="B11" s="12"/>
      <c r="C11" s="12"/>
      <c r="D11" s="12"/>
      <c r="E11" s="12"/>
      <c r="F11" s="12"/>
      <c r="G11" s="12"/>
      <c r="H11" s="12"/>
      <c r="I11" s="12"/>
      <c r="J11" s="12"/>
    </row>
    <row r="12" spans="1:10" x14ac:dyDescent="0.25">
      <c r="A12" s="12"/>
      <c r="B12" s="12"/>
      <c r="C12" s="12"/>
      <c r="D12" s="12"/>
      <c r="E12" s="12"/>
      <c r="F12" s="12"/>
      <c r="G12" s="12"/>
      <c r="H12" s="12"/>
      <c r="I12" s="12"/>
      <c r="J12" s="12"/>
    </row>
    <row r="13" spans="1:10" x14ac:dyDescent="0.25">
      <c r="A13" s="12"/>
      <c r="B13" s="12"/>
      <c r="C13" s="12"/>
      <c r="D13" s="12"/>
      <c r="E13" s="12"/>
      <c r="F13" s="12"/>
      <c r="G13" s="12"/>
      <c r="H13" s="12"/>
      <c r="I13" s="12"/>
      <c r="J13" s="12"/>
    </row>
    <row r="14" spans="1:10" x14ac:dyDescent="0.25">
      <c r="A14" s="12"/>
      <c r="B14" s="12"/>
      <c r="C14" s="12"/>
      <c r="D14" s="12"/>
      <c r="E14" s="12"/>
      <c r="F14" s="12"/>
      <c r="G14" s="12"/>
      <c r="H14" s="12"/>
      <c r="I14" s="12"/>
      <c r="J14" s="12"/>
    </row>
    <row r="15" spans="1:10" x14ac:dyDescent="0.25">
      <c r="A15" s="12"/>
      <c r="B15" s="12"/>
      <c r="C15" s="12"/>
      <c r="D15" s="12"/>
      <c r="E15" s="12"/>
      <c r="F15" s="12"/>
      <c r="G15" s="12"/>
      <c r="H15" s="12"/>
      <c r="I15" s="12"/>
      <c r="J15" s="12"/>
    </row>
    <row r="16" spans="1:10" x14ac:dyDescent="0.25">
      <c r="A16" s="12"/>
      <c r="B16" s="12"/>
      <c r="C16" s="12"/>
      <c r="D16" s="12"/>
      <c r="E16" s="12"/>
      <c r="F16" s="12"/>
      <c r="G16" s="12"/>
      <c r="H16" s="12"/>
      <c r="I16" s="12"/>
      <c r="J16" s="12"/>
    </row>
    <row r="17" spans="1:10" x14ac:dyDescent="0.25">
      <c r="A17" s="12"/>
      <c r="B17" s="12"/>
      <c r="C17" s="12"/>
      <c r="D17" s="12"/>
      <c r="E17" s="12"/>
      <c r="F17" s="12"/>
      <c r="G17" s="12"/>
      <c r="H17" s="12"/>
      <c r="I17" s="12"/>
      <c r="J17" s="12"/>
    </row>
    <row r="18" spans="1:10" x14ac:dyDescent="0.25">
      <c r="A18" s="12"/>
      <c r="B18" s="12"/>
      <c r="C18" s="12"/>
      <c r="D18" s="12"/>
      <c r="E18" s="12"/>
      <c r="F18" s="12"/>
      <c r="G18" s="12"/>
      <c r="H18" s="12"/>
      <c r="I18" s="12"/>
      <c r="J18" s="12"/>
    </row>
    <row r="19" spans="1:10" x14ac:dyDescent="0.25">
      <c r="A19" s="12"/>
      <c r="B19" s="12"/>
      <c r="C19" s="12"/>
      <c r="D19" s="12"/>
      <c r="E19" s="12"/>
      <c r="F19" s="12"/>
      <c r="G19" s="12"/>
      <c r="H19" s="12"/>
      <c r="I19" s="12"/>
      <c r="J19" s="12"/>
    </row>
    <row r="20" spans="1:10" x14ac:dyDescent="0.25">
      <c r="A20" s="12"/>
      <c r="B20" s="12"/>
      <c r="C20" s="12"/>
      <c r="D20" s="12"/>
      <c r="E20" s="12"/>
      <c r="F20" s="12"/>
      <c r="G20" s="12"/>
      <c r="H20" s="12"/>
      <c r="I20" s="12"/>
      <c r="J20" s="12"/>
    </row>
    <row r="21" spans="1:10" x14ac:dyDescent="0.25">
      <c r="A21" s="12"/>
      <c r="B21" s="12"/>
      <c r="C21" s="12"/>
      <c r="D21" s="12"/>
      <c r="E21" s="12"/>
      <c r="F21" s="12"/>
      <c r="G21" s="12"/>
      <c r="H21" s="12"/>
      <c r="I21" s="12"/>
      <c r="J21" s="12"/>
    </row>
    <row r="22" spans="1:10" x14ac:dyDescent="0.25">
      <c r="A22" s="12"/>
      <c r="B22" s="12"/>
      <c r="C22" s="12"/>
      <c r="D22" s="12"/>
      <c r="E22" s="12"/>
      <c r="F22" s="12"/>
      <c r="G22" s="12"/>
      <c r="H22" s="12"/>
      <c r="I22" s="12"/>
      <c r="J22" s="12"/>
    </row>
    <row r="23" spans="1:10" x14ac:dyDescent="0.25">
      <c r="A23" s="12"/>
      <c r="B23" s="12"/>
      <c r="C23" s="12"/>
      <c r="D23" s="12"/>
      <c r="E23" s="12"/>
      <c r="F23" s="12"/>
      <c r="G23" s="12"/>
      <c r="H23" s="12"/>
      <c r="I23" s="12"/>
      <c r="J23" s="12"/>
    </row>
    <row r="24" spans="1:10" x14ac:dyDescent="0.25">
      <c r="A24" s="12"/>
      <c r="B24" s="12"/>
      <c r="C24" s="12"/>
      <c r="D24" s="12"/>
      <c r="E24" s="12"/>
      <c r="F24" s="12"/>
      <c r="G24" s="12"/>
      <c r="H24" s="12"/>
      <c r="I24" s="12"/>
      <c r="J24" s="12"/>
    </row>
    <row r="25" spans="1:10" x14ac:dyDescent="0.25">
      <c r="A25" s="12"/>
      <c r="B25" s="12"/>
      <c r="C25" s="12"/>
      <c r="D25" s="12"/>
      <c r="E25" s="12"/>
      <c r="F25" s="12"/>
      <c r="G25" s="12"/>
      <c r="H25" s="12"/>
      <c r="I25" s="12"/>
      <c r="J25" s="12"/>
    </row>
    <row r="26" spans="1:10" x14ac:dyDescent="0.25">
      <c r="A26" s="12"/>
      <c r="B26" s="12"/>
      <c r="C26" s="12"/>
      <c r="D26" s="12"/>
      <c r="E26" s="12"/>
      <c r="F26" s="12"/>
      <c r="G26" s="12"/>
      <c r="H26" s="12"/>
      <c r="I26" s="12"/>
      <c r="J26" s="12"/>
    </row>
    <row r="27" spans="1:10" x14ac:dyDescent="0.25">
      <c r="A27" s="12"/>
      <c r="B27" s="12"/>
      <c r="C27" s="12"/>
      <c r="D27" s="12"/>
      <c r="E27" s="12"/>
      <c r="F27" s="12"/>
      <c r="G27" s="12"/>
      <c r="H27" s="12"/>
      <c r="I27" s="12"/>
      <c r="J27" s="12"/>
    </row>
    <row r="28" spans="1:10" x14ac:dyDescent="0.25">
      <c r="A28" s="12"/>
      <c r="B28" s="12"/>
      <c r="C28" s="12"/>
      <c r="D28" s="12"/>
      <c r="E28" s="12"/>
      <c r="F28" s="12"/>
      <c r="G28" s="12"/>
      <c r="H28" s="12"/>
      <c r="I28" s="12"/>
      <c r="J28" s="12"/>
    </row>
    <row r="29" spans="1:10" x14ac:dyDescent="0.25">
      <c r="A29" s="12"/>
      <c r="B29" s="12"/>
      <c r="C29" s="12"/>
      <c r="D29" s="12"/>
      <c r="E29" s="12"/>
      <c r="F29" s="12"/>
      <c r="G29" s="12"/>
      <c r="H29" s="12"/>
      <c r="I29" s="12"/>
      <c r="J29" s="12"/>
    </row>
    <row r="30" spans="1:10" x14ac:dyDescent="0.25">
      <c r="A30" s="12"/>
      <c r="B30" s="12"/>
      <c r="C30" s="12"/>
      <c r="D30" s="12"/>
      <c r="E30" s="12"/>
      <c r="F30" s="12"/>
      <c r="G30" s="12"/>
      <c r="H30" s="12"/>
      <c r="I30" s="12"/>
      <c r="J30" s="12"/>
    </row>
    <row r="31" spans="1:10" x14ac:dyDescent="0.25">
      <c r="A31" s="12"/>
      <c r="B31" s="12"/>
      <c r="C31" s="12"/>
      <c r="D31" s="12"/>
      <c r="E31" s="12"/>
      <c r="F31" s="12"/>
      <c r="G31" s="12"/>
      <c r="H31" s="12"/>
      <c r="I31" s="12"/>
      <c r="J31" s="12"/>
    </row>
    <row r="32" spans="1:10" x14ac:dyDescent="0.25">
      <c r="A32" s="12"/>
      <c r="B32" s="12"/>
      <c r="C32" s="12"/>
      <c r="D32" s="12"/>
      <c r="E32" s="12"/>
      <c r="F32" s="12"/>
      <c r="G32" s="12"/>
      <c r="H32" s="12"/>
      <c r="I32" s="12"/>
      <c r="J32" s="12"/>
    </row>
    <row r="33" spans="1:10" x14ac:dyDescent="0.25">
      <c r="A33" s="12"/>
      <c r="B33" s="12"/>
      <c r="C33" s="12"/>
      <c r="D33" s="12"/>
      <c r="E33" s="12"/>
      <c r="F33" s="12"/>
      <c r="G33" s="12"/>
      <c r="H33" s="12"/>
      <c r="I33" s="12"/>
      <c r="J33" s="12"/>
    </row>
    <row r="34" spans="1:10" x14ac:dyDescent="0.25">
      <c r="A34" s="12"/>
      <c r="B34" s="12"/>
      <c r="C34" s="12"/>
      <c r="D34" s="12"/>
      <c r="E34" s="12"/>
      <c r="F34" s="12"/>
      <c r="G34" s="12"/>
      <c r="H34" s="12"/>
      <c r="I34" s="12"/>
      <c r="J34" s="12"/>
    </row>
    <row r="35" spans="1:10" x14ac:dyDescent="0.25">
      <c r="A35" s="12"/>
      <c r="B35" s="12"/>
      <c r="C35" s="12"/>
      <c r="D35" s="12"/>
      <c r="E35" s="12"/>
      <c r="F35" s="12"/>
      <c r="G35" s="12"/>
      <c r="H35" s="12"/>
      <c r="I35" s="12"/>
      <c r="J35" s="12"/>
    </row>
    <row r="36" spans="1:10" x14ac:dyDescent="0.25">
      <c r="A36" s="12"/>
      <c r="B36" s="12"/>
      <c r="C36" s="12"/>
      <c r="D36" s="12"/>
      <c r="E36" s="12"/>
      <c r="F36" s="12"/>
      <c r="G36" s="12"/>
      <c r="H36" s="12"/>
      <c r="I36" s="12"/>
      <c r="J36" s="12"/>
    </row>
    <row r="37" spans="1:10" x14ac:dyDescent="0.25">
      <c r="A37" s="12"/>
      <c r="B37" s="12"/>
      <c r="C37" s="12"/>
      <c r="D37" s="12"/>
      <c r="E37" s="12"/>
      <c r="F37" s="12"/>
      <c r="G37" s="12"/>
      <c r="H37" s="12"/>
      <c r="I37" s="12"/>
      <c r="J37" s="12"/>
    </row>
    <row r="38" spans="1:10" x14ac:dyDescent="0.25">
      <c r="A38" s="12"/>
      <c r="B38" s="12"/>
      <c r="C38" s="12"/>
      <c r="D38" s="12"/>
      <c r="E38" s="12"/>
      <c r="F38" s="12"/>
      <c r="G38" s="12"/>
      <c r="H38" s="12"/>
      <c r="I38" s="12"/>
      <c r="J38" s="12"/>
    </row>
    <row r="39" spans="1:10" x14ac:dyDescent="0.25">
      <c r="A39" s="12"/>
      <c r="B39" s="12"/>
      <c r="C39" s="12"/>
      <c r="D39" s="12"/>
      <c r="E39" s="12"/>
      <c r="F39" s="12"/>
      <c r="G39" s="12"/>
      <c r="H39" s="12"/>
      <c r="I39" s="12"/>
      <c r="J39" s="12"/>
    </row>
    <row r="40" spans="1:10" x14ac:dyDescent="0.25">
      <c r="A40" s="12"/>
      <c r="B40" s="12"/>
      <c r="C40" s="12"/>
      <c r="D40" s="12"/>
      <c r="E40" s="12"/>
      <c r="F40" s="12"/>
      <c r="G40" s="12"/>
      <c r="H40" s="12"/>
      <c r="I40" s="12"/>
      <c r="J40" s="12"/>
    </row>
    <row r="41" spans="1:10" x14ac:dyDescent="0.25">
      <c r="A41" s="12"/>
      <c r="B41" s="12"/>
      <c r="C41" s="12"/>
      <c r="D41" s="12"/>
      <c r="E41" s="12"/>
      <c r="F41" s="12"/>
      <c r="G41" s="12"/>
      <c r="H41" s="12"/>
      <c r="I41" s="12"/>
      <c r="J41" s="12"/>
    </row>
    <row r="42" spans="1:10" x14ac:dyDescent="0.25">
      <c r="A42" s="12"/>
      <c r="B42" s="12"/>
      <c r="C42" s="12"/>
      <c r="D42" s="12"/>
      <c r="E42" s="12"/>
      <c r="F42" s="12"/>
      <c r="G42" s="12"/>
      <c r="H42" s="12"/>
      <c r="I42" s="12"/>
      <c r="J42" s="12"/>
    </row>
    <row r="43" spans="1:10" x14ac:dyDescent="0.25">
      <c r="A43" s="12"/>
      <c r="B43" s="12"/>
      <c r="C43" s="12"/>
      <c r="D43" s="12"/>
      <c r="E43" s="12"/>
      <c r="F43" s="12"/>
      <c r="G43" s="12"/>
      <c r="H43" s="12"/>
      <c r="I43" s="12"/>
      <c r="J43" s="12"/>
    </row>
    <row r="44" spans="1:10" x14ac:dyDescent="0.25">
      <c r="A44" s="12"/>
      <c r="B44" s="12"/>
      <c r="C44" s="12"/>
      <c r="D44" s="12"/>
      <c r="E44" s="12"/>
      <c r="F44" s="12"/>
      <c r="G44" s="12"/>
      <c r="H44" s="12"/>
      <c r="I44" s="12"/>
      <c r="J44" s="12"/>
    </row>
    <row r="45" spans="1:10" x14ac:dyDescent="0.25">
      <c r="A45" s="12"/>
      <c r="B45" s="12"/>
      <c r="C45" s="12"/>
      <c r="D45" s="12"/>
      <c r="E45" s="12"/>
      <c r="F45" s="12"/>
      <c r="G45" s="12"/>
      <c r="H45" s="12"/>
      <c r="I45" s="12"/>
      <c r="J45" s="12"/>
    </row>
    <row r="46" spans="1:10" x14ac:dyDescent="0.25">
      <c r="A46" s="12"/>
      <c r="B46" s="12"/>
      <c r="C46" s="12"/>
      <c r="D46" s="12"/>
      <c r="E46" s="12"/>
      <c r="F46" s="12"/>
      <c r="G46" s="12"/>
      <c r="H46" s="12"/>
      <c r="I46" s="12"/>
      <c r="J46" s="12"/>
    </row>
    <row r="47" spans="1:10" x14ac:dyDescent="0.25">
      <c r="A47" s="12"/>
      <c r="B47" s="12"/>
      <c r="C47" s="12"/>
      <c r="D47" s="12"/>
      <c r="E47" s="12"/>
      <c r="F47" s="12"/>
      <c r="G47" s="12"/>
      <c r="H47" s="12"/>
      <c r="I47" s="12"/>
      <c r="J47" s="12"/>
    </row>
    <row r="48" spans="1:10" x14ac:dyDescent="0.25">
      <c r="A48" s="12"/>
      <c r="B48" s="12"/>
      <c r="C48" s="12"/>
      <c r="D48" s="12"/>
      <c r="E48" s="12"/>
      <c r="F48" s="12"/>
      <c r="G48" s="12"/>
      <c r="H48" s="12"/>
      <c r="I48" s="12"/>
      <c r="J48" s="12"/>
    </row>
    <row r="49" spans="1:10" x14ac:dyDescent="0.25">
      <c r="A49" s="12"/>
      <c r="B49" s="12"/>
      <c r="C49" s="12"/>
      <c r="D49" s="12"/>
      <c r="E49" s="12"/>
      <c r="F49" s="12"/>
      <c r="G49" s="12"/>
      <c r="H49" s="12"/>
      <c r="I49" s="12"/>
      <c r="J49" s="12"/>
    </row>
    <row r="50" spans="1:10" x14ac:dyDescent="0.25">
      <c r="A50" s="12"/>
      <c r="B50" s="12"/>
      <c r="C50" s="12"/>
      <c r="D50" s="12"/>
      <c r="E50" s="12"/>
      <c r="F50" s="12"/>
      <c r="G50" s="12"/>
      <c r="H50" s="12"/>
      <c r="I50" s="12"/>
      <c r="J50" s="12"/>
    </row>
  </sheetData>
  <sheetProtection algorithmName="SHA-512" hashValue="BHGVJgjwGs6HVXNbBp6N37vXgIYUscQipCeTWBp69o8dM5Fgcz8XbUobR3ckPpoabuNhOT1MD6j2ughPx9z32A==" saltValue="rIvcG/KxnFAjTfgg8TpgFA==" spinCount="100000" sheet="1" formatColumns="0" formatRows="0" insertRows="0" deleteRows="0"/>
  <mergeCells count="2">
    <mergeCell ref="A1:C1"/>
    <mergeCell ref="D1:I1"/>
  </mergeCells>
  <printOptions horizontalCentered="1"/>
  <pageMargins left="0.39370078740157477" right="0.39370078740157477" top="0.4724409448818897" bottom="0.4724409448818897" header="0.15748031496062995" footer="0.23622047244094485"/>
  <pageSetup paperSize="8" scale="78" fitToHeight="0" orientation="landscape" r:id="rId1"/>
  <headerFooter>
    <oddFooter>&amp;C&amp;8Seite &amp;P von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M64"/>
  <sheetViews>
    <sheetView zoomScaleNormal="100" workbookViewId="0">
      <selection activeCell="C9" sqref="C9"/>
    </sheetView>
  </sheetViews>
  <sheetFormatPr baseColWidth="10" defaultColWidth="10.7109375" defaultRowHeight="15" x14ac:dyDescent="0.25"/>
  <cols>
    <col min="1" max="1" width="32.7109375" style="26" customWidth="1"/>
    <col min="2" max="2" width="40.140625" style="26" customWidth="1"/>
    <col min="3" max="3" width="14.7109375" style="26" customWidth="1"/>
    <col min="4" max="8" width="10.7109375" style="26"/>
    <col min="9" max="10" width="13.28515625" style="26" customWidth="1"/>
    <col min="11" max="11" width="24.7109375" style="26" customWidth="1"/>
    <col min="12" max="12" width="10.7109375" style="26" hidden="1" customWidth="1"/>
    <col min="13" max="13" width="26.7109375" style="26" hidden="1" customWidth="1"/>
    <col min="14" max="14" width="10.7109375" style="26"/>
    <col min="15" max="15" width="16.7109375" style="26" customWidth="1"/>
    <col min="16" max="16" width="34.7109375" style="26" customWidth="1"/>
    <col min="17" max="17" width="24.7109375" style="26" customWidth="1"/>
    <col min="18" max="16384" width="10.7109375" style="26"/>
  </cols>
  <sheetData>
    <row r="1" spans="1:13" x14ac:dyDescent="0.25">
      <c r="A1" s="38" t="s">
        <v>39</v>
      </c>
      <c r="B1" s="19">
        <v>2026</v>
      </c>
      <c r="C1" s="26" t="s">
        <v>40</v>
      </c>
      <c r="L1" s="26" t="s">
        <v>32</v>
      </c>
    </row>
    <row r="2" spans="1:13" ht="15.75" customHeight="1" x14ac:dyDescent="0.25">
      <c r="A2" s="38" t="s">
        <v>19</v>
      </c>
      <c r="B2" s="19">
        <v>3</v>
      </c>
      <c r="C2" s="26" t="s">
        <v>38</v>
      </c>
      <c r="L2" s="26">
        <v>1</v>
      </c>
      <c r="M2" s="26" t="s">
        <v>8</v>
      </c>
    </row>
    <row r="3" spans="1:13" ht="15.75" customHeight="1" x14ac:dyDescent="0.25">
      <c r="A3" s="38" t="s">
        <v>20</v>
      </c>
      <c r="B3" s="19">
        <v>38</v>
      </c>
      <c r="C3" s="26" t="s">
        <v>21</v>
      </c>
      <c r="L3" s="26">
        <v>2</v>
      </c>
      <c r="M3" s="26" t="s">
        <v>24</v>
      </c>
    </row>
    <row r="4" spans="1:13" ht="15.75" customHeight="1" x14ac:dyDescent="0.25">
      <c r="A4" s="28" t="s">
        <v>22</v>
      </c>
      <c r="B4" s="39">
        <f>COUNTIFS(D15:D52,TRUE())-COUNTIFS(E15:E52,TRUE())/2</f>
        <v>30.5</v>
      </c>
      <c r="C4" s="26" t="s">
        <v>23</v>
      </c>
      <c r="L4" s="26">
        <v>3</v>
      </c>
      <c r="M4" s="26" t="s">
        <v>79</v>
      </c>
    </row>
    <row r="5" spans="1:13" x14ac:dyDescent="0.25">
      <c r="A5" s="28" t="s">
        <v>48</v>
      </c>
      <c r="B5" s="40" t="s">
        <v>76</v>
      </c>
      <c r="C5" s="26" t="s">
        <v>77</v>
      </c>
      <c r="L5" s="26">
        <v>4</v>
      </c>
      <c r="M5" s="26" t="s">
        <v>29</v>
      </c>
    </row>
    <row r="6" spans="1:13" ht="21.95" customHeight="1" x14ac:dyDescent="0.25">
      <c r="A6" s="41"/>
      <c r="B6" s="8"/>
      <c r="L6" s="26">
        <v>5</v>
      </c>
      <c r="M6" s="26" t="s">
        <v>44</v>
      </c>
    </row>
    <row r="7" spans="1:13" ht="21.95" customHeight="1" x14ac:dyDescent="0.25">
      <c r="A7" s="41"/>
      <c r="B7" s="8"/>
    </row>
    <row r="8" spans="1:13" ht="21.95" customHeight="1" x14ac:dyDescent="0.25">
      <c r="A8" s="43" t="s">
        <v>62</v>
      </c>
      <c r="B8" s="19" t="s">
        <v>158</v>
      </c>
      <c r="C8" s="41"/>
      <c r="D8" s="42"/>
    </row>
    <row r="9" spans="1:13" ht="21.95" customHeight="1" x14ac:dyDescent="0.25">
      <c r="A9" s="43" t="s">
        <v>63</v>
      </c>
      <c r="B9" s="19">
        <v>10</v>
      </c>
      <c r="C9" s="41"/>
      <c r="D9" s="42"/>
      <c r="L9" s="44" t="s">
        <v>72</v>
      </c>
    </row>
    <row r="10" spans="1:13" ht="38.1" customHeight="1" x14ac:dyDescent="0.25">
      <c r="A10" s="43" t="s">
        <v>64</v>
      </c>
      <c r="B10" s="19" t="s">
        <v>66</v>
      </c>
      <c r="C10" s="41"/>
      <c r="D10" s="42"/>
      <c r="L10" s="12" t="s">
        <v>66</v>
      </c>
      <c r="M10" s="12"/>
    </row>
    <row r="11" spans="1:13" ht="21.95" customHeight="1" x14ac:dyDescent="0.25">
      <c r="A11" s="43" t="s">
        <v>65</v>
      </c>
      <c r="B11" s="19" t="s">
        <v>159</v>
      </c>
      <c r="C11" s="41"/>
      <c r="D11" s="42"/>
      <c r="L11" s="12" t="s">
        <v>67</v>
      </c>
      <c r="M11" s="12"/>
    </row>
    <row r="12" spans="1:13" ht="21.95" customHeight="1" x14ac:dyDescent="0.25">
      <c r="A12" s="42"/>
      <c r="B12" s="8"/>
      <c r="C12" s="41"/>
      <c r="D12" s="42"/>
      <c r="L12" s="12"/>
      <c r="M12" s="12"/>
    </row>
    <row r="13" spans="1:13" ht="21.95" customHeight="1" x14ac:dyDescent="0.25">
      <c r="A13" s="41"/>
      <c r="B13" s="8"/>
      <c r="L13" s="12"/>
      <c r="M13" s="12"/>
    </row>
    <row r="14" spans="1:13" ht="45.75" customHeight="1" x14ac:dyDescent="0.25">
      <c r="A14" s="38" t="s">
        <v>25</v>
      </c>
      <c r="B14" s="38" t="s">
        <v>33</v>
      </c>
      <c r="C14" s="38" t="s">
        <v>34</v>
      </c>
      <c r="D14" s="38" t="s">
        <v>46</v>
      </c>
      <c r="E14" s="38" t="s">
        <v>26</v>
      </c>
      <c r="F14" s="38" t="s">
        <v>45</v>
      </c>
      <c r="G14" s="45" t="s">
        <v>27</v>
      </c>
      <c r="H14" s="45" t="s">
        <v>28</v>
      </c>
      <c r="I14" s="38" t="s">
        <v>49</v>
      </c>
      <c r="J14" s="38" t="s">
        <v>50</v>
      </c>
      <c r="K14" s="38" t="s">
        <v>73</v>
      </c>
      <c r="L14" s="12"/>
      <c r="M14" s="12"/>
    </row>
    <row r="15" spans="1:13" x14ac:dyDescent="0.25">
      <c r="A15" s="9">
        <v>1</v>
      </c>
      <c r="B15" s="10">
        <v>46279</v>
      </c>
      <c r="C15" s="10">
        <v>46285</v>
      </c>
      <c r="D15" s="11" t="b">
        <v>0</v>
      </c>
      <c r="E15" s="11" t="b">
        <v>0</v>
      </c>
      <c r="F15" s="11" t="b">
        <v>0</v>
      </c>
      <c r="G15" s="46">
        <f>IF(D15,IF(E15,0.5,1),0)</f>
        <v>0</v>
      </c>
      <c r="H15" s="46">
        <f>B4-IF(D15,IF(E15,0.5,1),0)</f>
        <v>30.5</v>
      </c>
      <c r="I15" s="13">
        <v>46328</v>
      </c>
      <c r="J15" s="13">
        <v>46334</v>
      </c>
      <c r="K15" s="9" t="s">
        <v>58</v>
      </c>
      <c r="L15" s="12"/>
      <c r="M15" s="12"/>
    </row>
    <row r="16" spans="1:13" x14ac:dyDescent="0.25">
      <c r="A16" s="9">
        <v>2</v>
      </c>
      <c r="B16" s="10">
        <v>46286</v>
      </c>
      <c r="C16" s="10">
        <v>46292</v>
      </c>
      <c r="D16" s="11" t="b">
        <v>0</v>
      </c>
      <c r="E16" s="11" t="b">
        <v>0</v>
      </c>
      <c r="F16" s="11" t="b">
        <v>0</v>
      </c>
      <c r="G16" s="46">
        <f t="shared" ref="G16:G52" si="0">G15+IF(D16,IF(E16,0.5,1),0)</f>
        <v>0</v>
      </c>
      <c r="H16" s="46">
        <f t="shared" ref="H16:H52" si="1">H15-IF(D16,IF(E16,0.5,1),0)</f>
        <v>30.5</v>
      </c>
      <c r="I16" s="13">
        <v>46363</v>
      </c>
      <c r="J16" s="13">
        <v>46369</v>
      </c>
      <c r="K16" s="9" t="s">
        <v>160</v>
      </c>
      <c r="L16" s="12"/>
      <c r="M16" s="12"/>
    </row>
    <row r="17" spans="1:11" x14ac:dyDescent="0.25">
      <c r="A17" s="9">
        <v>3</v>
      </c>
      <c r="B17" s="10">
        <v>46293</v>
      </c>
      <c r="C17" s="10">
        <v>46299</v>
      </c>
      <c r="D17" s="11" t="b">
        <v>0</v>
      </c>
      <c r="E17" s="11" t="b">
        <v>0</v>
      </c>
      <c r="F17" s="11" t="b">
        <v>0</v>
      </c>
      <c r="G17" s="46">
        <f t="shared" si="0"/>
        <v>0</v>
      </c>
      <c r="H17" s="46">
        <f t="shared" si="1"/>
        <v>30.5</v>
      </c>
      <c r="I17" s="13">
        <v>46380</v>
      </c>
      <c r="J17" s="13">
        <v>46397</v>
      </c>
      <c r="K17" s="9" t="s">
        <v>59</v>
      </c>
    </row>
    <row r="18" spans="1:11" x14ac:dyDescent="0.25">
      <c r="A18" s="9">
        <v>4</v>
      </c>
      <c r="B18" s="10">
        <v>46300</v>
      </c>
      <c r="C18" s="10">
        <v>46306</v>
      </c>
      <c r="D18" s="11" t="b">
        <v>1</v>
      </c>
      <c r="E18" s="11" t="b">
        <v>0</v>
      </c>
      <c r="F18" s="11" t="b">
        <v>0</v>
      </c>
      <c r="G18" s="46">
        <f t="shared" si="0"/>
        <v>1</v>
      </c>
      <c r="H18" s="46">
        <f t="shared" si="1"/>
        <v>29.5</v>
      </c>
      <c r="I18" s="13">
        <v>46426</v>
      </c>
      <c r="J18" s="13">
        <v>46432</v>
      </c>
      <c r="K18" s="9" t="s">
        <v>80</v>
      </c>
    </row>
    <row r="19" spans="1:11" x14ac:dyDescent="0.25">
      <c r="A19" s="9">
        <v>5</v>
      </c>
      <c r="B19" s="10">
        <v>46307</v>
      </c>
      <c r="C19" s="10">
        <v>46313</v>
      </c>
      <c r="D19" s="11" t="b">
        <v>1</v>
      </c>
      <c r="E19" s="11" t="b">
        <v>0</v>
      </c>
      <c r="F19" s="11" t="b">
        <v>0</v>
      </c>
      <c r="G19" s="46">
        <f t="shared" si="0"/>
        <v>2</v>
      </c>
      <c r="H19" s="46">
        <f t="shared" si="1"/>
        <v>28.5</v>
      </c>
      <c r="I19" s="13">
        <v>46468</v>
      </c>
      <c r="J19" s="13">
        <v>46481</v>
      </c>
      <c r="K19" s="9" t="s">
        <v>60</v>
      </c>
    </row>
    <row r="20" spans="1:11" x14ac:dyDescent="0.25">
      <c r="A20" s="9">
        <v>6</v>
      </c>
      <c r="B20" s="10">
        <v>46314</v>
      </c>
      <c r="C20" s="10">
        <v>46320</v>
      </c>
      <c r="D20" s="11" t="b">
        <v>1</v>
      </c>
      <c r="E20" s="11" t="b">
        <v>0</v>
      </c>
      <c r="F20" s="11" t="b">
        <v>0</v>
      </c>
      <c r="G20" s="46">
        <f t="shared" si="0"/>
        <v>3</v>
      </c>
      <c r="H20" s="46">
        <f t="shared" si="1"/>
        <v>27.5</v>
      </c>
      <c r="I20" s="13">
        <v>46524</v>
      </c>
      <c r="J20" s="13">
        <v>46537</v>
      </c>
      <c r="K20" s="9" t="s">
        <v>61</v>
      </c>
    </row>
    <row r="21" spans="1:11" x14ac:dyDescent="0.25">
      <c r="A21" s="9">
        <v>7</v>
      </c>
      <c r="B21" s="10">
        <v>46321</v>
      </c>
      <c r="C21" s="10">
        <v>46327</v>
      </c>
      <c r="D21" s="11" t="b">
        <v>1</v>
      </c>
      <c r="E21" s="11" t="b">
        <v>0</v>
      </c>
      <c r="F21" s="11" t="b">
        <v>0</v>
      </c>
      <c r="G21" s="46">
        <f t="shared" si="0"/>
        <v>4</v>
      </c>
      <c r="H21" s="46">
        <f t="shared" si="1"/>
        <v>26.5</v>
      </c>
      <c r="I21" s="13"/>
      <c r="J21" s="13"/>
      <c r="K21" s="9"/>
    </row>
    <row r="22" spans="1:11" x14ac:dyDescent="0.25">
      <c r="A22" s="9">
        <v>8</v>
      </c>
      <c r="B22" s="10">
        <v>46335</v>
      </c>
      <c r="C22" s="10">
        <v>46341</v>
      </c>
      <c r="D22" s="11" t="b">
        <v>1</v>
      </c>
      <c r="E22" s="11" t="b">
        <v>0</v>
      </c>
      <c r="F22" s="11" t="b">
        <v>0</v>
      </c>
      <c r="G22" s="46">
        <f t="shared" si="0"/>
        <v>5</v>
      </c>
      <c r="H22" s="46">
        <f t="shared" si="1"/>
        <v>25.5</v>
      </c>
      <c r="I22" s="13"/>
      <c r="J22" s="13"/>
      <c r="K22" s="9"/>
    </row>
    <row r="23" spans="1:11" x14ac:dyDescent="0.25">
      <c r="A23" s="9">
        <v>9</v>
      </c>
      <c r="B23" s="10">
        <v>46342</v>
      </c>
      <c r="C23" s="10">
        <v>46348</v>
      </c>
      <c r="D23" s="11" t="b">
        <v>1</v>
      </c>
      <c r="E23" s="11" t="b">
        <v>0</v>
      </c>
      <c r="F23" s="11" t="b">
        <v>0</v>
      </c>
      <c r="G23" s="46">
        <f t="shared" si="0"/>
        <v>6</v>
      </c>
      <c r="H23" s="46">
        <f t="shared" si="1"/>
        <v>24.5</v>
      </c>
      <c r="I23" s="13"/>
      <c r="J23" s="13"/>
      <c r="K23" s="9"/>
    </row>
    <row r="24" spans="1:11" x14ac:dyDescent="0.25">
      <c r="A24" s="9">
        <v>10</v>
      </c>
      <c r="B24" s="10">
        <v>46349</v>
      </c>
      <c r="C24" s="10">
        <v>46355</v>
      </c>
      <c r="D24" s="11" t="b">
        <v>1</v>
      </c>
      <c r="E24" s="11" t="b">
        <v>0</v>
      </c>
      <c r="F24" s="11" t="b">
        <v>0</v>
      </c>
      <c r="G24" s="46">
        <f t="shared" si="0"/>
        <v>7</v>
      </c>
      <c r="H24" s="46">
        <f t="shared" si="1"/>
        <v>23.5</v>
      </c>
      <c r="I24" s="13"/>
      <c r="J24" s="13"/>
      <c r="K24" s="9"/>
    </row>
    <row r="25" spans="1:11" x14ac:dyDescent="0.25">
      <c r="A25" s="9">
        <v>11</v>
      </c>
      <c r="B25" s="10">
        <v>46356</v>
      </c>
      <c r="C25" s="10">
        <v>46362</v>
      </c>
      <c r="D25" s="11" t="b">
        <v>1</v>
      </c>
      <c r="E25" s="11" t="b">
        <v>0</v>
      </c>
      <c r="F25" s="11" t="b">
        <v>0</v>
      </c>
      <c r="G25" s="46">
        <f t="shared" si="0"/>
        <v>8</v>
      </c>
      <c r="H25" s="46">
        <f t="shared" si="1"/>
        <v>22.5</v>
      </c>
      <c r="I25" s="13"/>
      <c r="J25" s="13"/>
      <c r="K25" s="9"/>
    </row>
    <row r="26" spans="1:11" x14ac:dyDescent="0.25">
      <c r="A26" s="9">
        <v>12</v>
      </c>
      <c r="B26" s="10">
        <v>46363</v>
      </c>
      <c r="C26" s="10">
        <v>46369</v>
      </c>
      <c r="D26" s="11" t="b">
        <v>0</v>
      </c>
      <c r="E26" s="11" t="b">
        <v>0</v>
      </c>
      <c r="F26" s="11" t="b">
        <v>0</v>
      </c>
      <c r="G26" s="46">
        <f t="shared" si="0"/>
        <v>8</v>
      </c>
      <c r="H26" s="46">
        <f t="shared" si="1"/>
        <v>22.5</v>
      </c>
      <c r="I26" s="13"/>
      <c r="J26" s="13"/>
      <c r="K26" s="9"/>
    </row>
    <row r="27" spans="1:11" x14ac:dyDescent="0.25">
      <c r="A27" s="9">
        <v>13</v>
      </c>
      <c r="B27" s="10">
        <v>46370</v>
      </c>
      <c r="C27" s="10">
        <v>46376</v>
      </c>
      <c r="D27" s="11" t="b">
        <v>1</v>
      </c>
      <c r="E27" s="11" t="b">
        <v>0</v>
      </c>
      <c r="F27" s="11" t="b">
        <v>0</v>
      </c>
      <c r="G27" s="46">
        <f t="shared" si="0"/>
        <v>9</v>
      </c>
      <c r="H27" s="46">
        <f t="shared" si="1"/>
        <v>21.5</v>
      </c>
      <c r="I27" s="13"/>
      <c r="J27" s="13"/>
      <c r="K27" s="9"/>
    </row>
    <row r="28" spans="1:11" x14ac:dyDescent="0.25">
      <c r="A28" s="9">
        <v>14</v>
      </c>
      <c r="B28" s="10">
        <v>46377</v>
      </c>
      <c r="C28" s="10">
        <v>46379</v>
      </c>
      <c r="D28" s="11" t="b">
        <v>1</v>
      </c>
      <c r="E28" s="11" t="b">
        <v>1</v>
      </c>
      <c r="F28" s="11" t="b">
        <v>0</v>
      </c>
      <c r="G28" s="46">
        <f t="shared" si="0"/>
        <v>9.5</v>
      </c>
      <c r="H28" s="46">
        <f t="shared" si="1"/>
        <v>21</v>
      </c>
      <c r="I28" s="13"/>
      <c r="J28" s="13"/>
      <c r="K28" s="9"/>
    </row>
    <row r="29" spans="1:11" x14ac:dyDescent="0.25">
      <c r="A29" s="9">
        <v>15</v>
      </c>
      <c r="B29" s="10">
        <v>46398</v>
      </c>
      <c r="C29" s="10">
        <v>46404</v>
      </c>
      <c r="D29" s="11" t="b">
        <v>1</v>
      </c>
      <c r="E29" s="11" t="b">
        <v>0</v>
      </c>
      <c r="F29" s="11" t="b">
        <v>0</v>
      </c>
      <c r="G29" s="46">
        <f t="shared" si="0"/>
        <v>10.5</v>
      </c>
      <c r="H29" s="46">
        <f t="shared" si="1"/>
        <v>20</v>
      </c>
      <c r="I29" s="13"/>
      <c r="J29" s="13"/>
      <c r="K29" s="9"/>
    </row>
    <row r="30" spans="1:11" x14ac:dyDescent="0.25">
      <c r="A30" s="9">
        <v>16</v>
      </c>
      <c r="B30" s="10">
        <v>46405</v>
      </c>
      <c r="C30" s="10">
        <v>46411</v>
      </c>
      <c r="D30" s="11" t="b">
        <v>1</v>
      </c>
      <c r="E30" s="11" t="b">
        <v>0</v>
      </c>
      <c r="F30" s="11" t="b">
        <v>0</v>
      </c>
      <c r="G30" s="46">
        <f t="shared" si="0"/>
        <v>11.5</v>
      </c>
      <c r="H30" s="46">
        <f t="shared" si="1"/>
        <v>19</v>
      </c>
      <c r="I30" s="13"/>
      <c r="J30" s="13"/>
      <c r="K30" s="9"/>
    </row>
    <row r="31" spans="1:11" x14ac:dyDescent="0.25">
      <c r="A31" s="9">
        <v>17</v>
      </c>
      <c r="B31" s="10">
        <v>46412</v>
      </c>
      <c r="C31" s="10">
        <v>46418</v>
      </c>
      <c r="D31" s="11" t="b">
        <v>0</v>
      </c>
      <c r="E31" s="11" t="b">
        <v>0</v>
      </c>
      <c r="F31" s="11" t="b">
        <v>0</v>
      </c>
      <c r="G31" s="46">
        <f t="shared" si="0"/>
        <v>11.5</v>
      </c>
      <c r="H31" s="46">
        <f t="shared" si="1"/>
        <v>19</v>
      </c>
      <c r="I31" s="13"/>
      <c r="J31" s="13"/>
      <c r="K31" s="9"/>
    </row>
    <row r="32" spans="1:11" x14ac:dyDescent="0.25">
      <c r="A32" s="9">
        <v>18</v>
      </c>
      <c r="B32" s="10">
        <v>46419</v>
      </c>
      <c r="C32" s="10">
        <v>46425</v>
      </c>
      <c r="D32" s="11" t="b">
        <v>1</v>
      </c>
      <c r="E32" s="11" t="b">
        <v>0</v>
      </c>
      <c r="F32" s="11" t="b">
        <v>0</v>
      </c>
      <c r="G32" s="46">
        <f t="shared" si="0"/>
        <v>12.5</v>
      </c>
      <c r="H32" s="46">
        <f t="shared" si="1"/>
        <v>18</v>
      </c>
      <c r="I32" s="13"/>
      <c r="J32" s="13"/>
      <c r="K32" s="9"/>
    </row>
    <row r="33" spans="1:11" x14ac:dyDescent="0.25">
      <c r="A33" s="9">
        <v>19</v>
      </c>
      <c r="B33" s="10">
        <v>46433</v>
      </c>
      <c r="C33" s="10">
        <v>46439</v>
      </c>
      <c r="D33" s="11" t="b">
        <v>1</v>
      </c>
      <c r="E33" s="11" t="b">
        <v>0</v>
      </c>
      <c r="F33" s="11" t="b">
        <v>0</v>
      </c>
      <c r="G33" s="46">
        <f t="shared" si="0"/>
        <v>13.5</v>
      </c>
      <c r="H33" s="46">
        <f t="shared" si="1"/>
        <v>17</v>
      </c>
      <c r="I33" s="13"/>
      <c r="J33" s="13"/>
      <c r="K33" s="9"/>
    </row>
    <row r="34" spans="1:11" x14ac:dyDescent="0.25">
      <c r="A34" s="9">
        <v>20</v>
      </c>
      <c r="B34" s="10">
        <v>46440</v>
      </c>
      <c r="C34" s="10">
        <v>46446</v>
      </c>
      <c r="D34" s="11" t="b">
        <v>1</v>
      </c>
      <c r="E34" s="11" t="b">
        <v>0</v>
      </c>
      <c r="F34" s="11" t="b">
        <v>0</v>
      </c>
      <c r="G34" s="46">
        <f t="shared" si="0"/>
        <v>14.5</v>
      </c>
      <c r="H34" s="46">
        <f t="shared" si="1"/>
        <v>16</v>
      </c>
      <c r="I34" s="13"/>
      <c r="J34" s="13"/>
      <c r="K34" s="9"/>
    </row>
    <row r="35" spans="1:11" x14ac:dyDescent="0.25">
      <c r="A35" s="9">
        <v>21</v>
      </c>
      <c r="B35" s="10">
        <v>46447</v>
      </c>
      <c r="C35" s="10">
        <v>46453</v>
      </c>
      <c r="D35" s="11" t="b">
        <v>1</v>
      </c>
      <c r="E35" s="11" t="b">
        <v>0</v>
      </c>
      <c r="F35" s="11" t="b">
        <v>0</v>
      </c>
      <c r="G35" s="46">
        <f t="shared" si="0"/>
        <v>15.5</v>
      </c>
      <c r="H35" s="46">
        <f t="shared" si="1"/>
        <v>15</v>
      </c>
    </row>
    <row r="36" spans="1:11" x14ac:dyDescent="0.25">
      <c r="A36" s="9">
        <v>22</v>
      </c>
      <c r="B36" s="10">
        <v>46454</v>
      </c>
      <c r="C36" s="10">
        <v>46460</v>
      </c>
      <c r="D36" s="11" t="b">
        <v>1</v>
      </c>
      <c r="E36" s="11" t="b">
        <v>0</v>
      </c>
      <c r="F36" s="11" t="b">
        <v>0</v>
      </c>
      <c r="G36" s="46">
        <f t="shared" si="0"/>
        <v>16.5</v>
      </c>
      <c r="H36" s="46">
        <f t="shared" si="1"/>
        <v>14</v>
      </c>
    </row>
    <row r="37" spans="1:11" x14ac:dyDescent="0.25">
      <c r="A37" s="9">
        <v>23</v>
      </c>
      <c r="B37" s="10">
        <v>46461</v>
      </c>
      <c r="C37" s="10">
        <v>46467</v>
      </c>
      <c r="D37" s="11" t="b">
        <v>0</v>
      </c>
      <c r="E37" s="11" t="b">
        <v>0</v>
      </c>
      <c r="F37" s="11" t="b">
        <v>0</v>
      </c>
      <c r="G37" s="46">
        <f t="shared" si="0"/>
        <v>16.5</v>
      </c>
      <c r="H37" s="46">
        <f t="shared" si="1"/>
        <v>14</v>
      </c>
    </row>
    <row r="38" spans="1:11" x14ac:dyDescent="0.25">
      <c r="A38" s="9">
        <v>24</v>
      </c>
      <c r="B38" s="10">
        <v>46482</v>
      </c>
      <c r="C38" s="10">
        <v>46488</v>
      </c>
      <c r="D38" s="11" t="b">
        <v>1</v>
      </c>
      <c r="E38" s="11" t="b">
        <v>0</v>
      </c>
      <c r="F38" s="11" t="b">
        <v>0</v>
      </c>
      <c r="G38" s="46">
        <f t="shared" si="0"/>
        <v>17.5</v>
      </c>
      <c r="H38" s="46">
        <f t="shared" si="1"/>
        <v>13</v>
      </c>
    </row>
    <row r="39" spans="1:11" x14ac:dyDescent="0.25">
      <c r="A39" s="9">
        <v>25</v>
      </c>
      <c r="B39" s="10">
        <v>46489</v>
      </c>
      <c r="C39" s="10">
        <v>46495</v>
      </c>
      <c r="D39" s="11" t="b">
        <v>1</v>
      </c>
      <c r="E39" s="11" t="b">
        <v>0</v>
      </c>
      <c r="F39" s="11" t="b">
        <v>0</v>
      </c>
      <c r="G39" s="46">
        <f t="shared" si="0"/>
        <v>18.5</v>
      </c>
      <c r="H39" s="46">
        <f t="shared" si="1"/>
        <v>12</v>
      </c>
    </row>
    <row r="40" spans="1:11" x14ac:dyDescent="0.25">
      <c r="A40" s="9">
        <v>26</v>
      </c>
      <c r="B40" s="10">
        <v>46496</v>
      </c>
      <c r="C40" s="10">
        <v>46502</v>
      </c>
      <c r="D40" s="11" t="b">
        <v>1</v>
      </c>
      <c r="E40" s="11" t="b">
        <v>0</v>
      </c>
      <c r="F40" s="11" t="b">
        <v>0</v>
      </c>
      <c r="G40" s="46">
        <f t="shared" si="0"/>
        <v>19.5</v>
      </c>
      <c r="H40" s="46">
        <f t="shared" si="1"/>
        <v>11</v>
      </c>
    </row>
    <row r="41" spans="1:11" x14ac:dyDescent="0.25">
      <c r="A41" s="9">
        <v>27</v>
      </c>
      <c r="B41" s="10">
        <v>46503</v>
      </c>
      <c r="C41" s="10">
        <v>46509</v>
      </c>
      <c r="D41" s="11" t="b">
        <v>1</v>
      </c>
      <c r="E41" s="11" t="b">
        <v>0</v>
      </c>
      <c r="F41" s="11" t="b">
        <v>0</v>
      </c>
      <c r="G41" s="46">
        <f t="shared" si="0"/>
        <v>20.5</v>
      </c>
      <c r="H41" s="46">
        <f t="shared" si="1"/>
        <v>10</v>
      </c>
    </row>
    <row r="42" spans="1:11" x14ac:dyDescent="0.25">
      <c r="A42" s="9">
        <v>28</v>
      </c>
      <c r="B42" s="10">
        <v>46510</v>
      </c>
      <c r="C42" s="10">
        <v>46516</v>
      </c>
      <c r="D42" s="11" t="b">
        <v>1</v>
      </c>
      <c r="E42" s="11" t="b">
        <v>0</v>
      </c>
      <c r="F42" s="11" t="b">
        <v>0</v>
      </c>
      <c r="G42" s="46">
        <f t="shared" si="0"/>
        <v>21.5</v>
      </c>
      <c r="H42" s="46">
        <f t="shared" si="1"/>
        <v>9</v>
      </c>
    </row>
    <row r="43" spans="1:11" x14ac:dyDescent="0.25">
      <c r="A43" s="9">
        <v>29</v>
      </c>
      <c r="B43" s="10">
        <v>46517</v>
      </c>
      <c r="C43" s="10">
        <v>46523</v>
      </c>
      <c r="D43" s="11" t="b">
        <v>1</v>
      </c>
      <c r="E43" s="11" t="b">
        <v>0</v>
      </c>
      <c r="F43" s="11" t="b">
        <v>0</v>
      </c>
      <c r="G43" s="46">
        <f t="shared" si="0"/>
        <v>22.5</v>
      </c>
      <c r="H43" s="46">
        <f t="shared" si="1"/>
        <v>8</v>
      </c>
    </row>
    <row r="44" spans="1:11" x14ac:dyDescent="0.25">
      <c r="A44" s="9">
        <v>30</v>
      </c>
      <c r="B44" s="10">
        <v>46538</v>
      </c>
      <c r="C44" s="10">
        <v>46544</v>
      </c>
      <c r="D44" s="11" t="b">
        <v>1</v>
      </c>
      <c r="E44" s="11" t="b">
        <v>0</v>
      </c>
      <c r="F44" s="11" t="b">
        <v>0</v>
      </c>
      <c r="G44" s="46">
        <f t="shared" si="0"/>
        <v>23.5</v>
      </c>
      <c r="H44" s="46">
        <f t="shared" si="1"/>
        <v>7</v>
      </c>
    </row>
    <row r="45" spans="1:11" x14ac:dyDescent="0.25">
      <c r="A45" s="9">
        <v>31</v>
      </c>
      <c r="B45" s="10">
        <v>46545</v>
      </c>
      <c r="C45" s="10">
        <v>46551</v>
      </c>
      <c r="D45" s="11" t="b">
        <v>1</v>
      </c>
      <c r="E45" s="11" t="b">
        <v>0</v>
      </c>
      <c r="F45" s="11" t="b">
        <v>0</v>
      </c>
      <c r="G45" s="46">
        <f t="shared" si="0"/>
        <v>24.5</v>
      </c>
      <c r="H45" s="46">
        <f t="shared" si="1"/>
        <v>6</v>
      </c>
    </row>
    <row r="46" spans="1:11" x14ac:dyDescent="0.25">
      <c r="A46" s="9">
        <v>32</v>
      </c>
      <c r="B46" s="10">
        <v>46552</v>
      </c>
      <c r="C46" s="10">
        <v>46558</v>
      </c>
      <c r="D46" s="11" t="b">
        <v>1</v>
      </c>
      <c r="E46" s="11" t="b">
        <v>0</v>
      </c>
      <c r="F46" s="11" t="b">
        <v>0</v>
      </c>
      <c r="G46" s="46">
        <f t="shared" si="0"/>
        <v>25.5</v>
      </c>
      <c r="H46" s="46">
        <f t="shared" si="1"/>
        <v>5</v>
      </c>
    </row>
    <row r="47" spans="1:11" x14ac:dyDescent="0.25">
      <c r="A47" s="9">
        <v>33</v>
      </c>
      <c r="B47" s="10">
        <v>46559</v>
      </c>
      <c r="C47" s="10">
        <v>46565</v>
      </c>
      <c r="D47" s="11" t="b">
        <v>1</v>
      </c>
      <c r="E47" s="11" t="b">
        <v>0</v>
      </c>
      <c r="F47" s="11" t="b">
        <v>0</v>
      </c>
      <c r="G47" s="46">
        <f t="shared" si="0"/>
        <v>26.5</v>
      </c>
      <c r="H47" s="46">
        <f t="shared" si="1"/>
        <v>4</v>
      </c>
    </row>
    <row r="48" spans="1:11" x14ac:dyDescent="0.25">
      <c r="A48" s="9">
        <v>34</v>
      </c>
      <c r="B48" s="10">
        <v>46566</v>
      </c>
      <c r="C48" s="10">
        <v>46572</v>
      </c>
      <c r="D48" s="11" t="b">
        <v>1</v>
      </c>
      <c r="E48" s="11" t="b">
        <v>0</v>
      </c>
      <c r="F48" s="11" t="b">
        <v>0</v>
      </c>
      <c r="G48" s="46">
        <f t="shared" si="0"/>
        <v>27.5</v>
      </c>
      <c r="H48" s="46">
        <f t="shared" si="1"/>
        <v>3</v>
      </c>
    </row>
    <row r="49" spans="1:8" x14ac:dyDescent="0.25">
      <c r="A49" s="9">
        <v>35</v>
      </c>
      <c r="B49" s="10">
        <v>46573</v>
      </c>
      <c r="C49" s="10">
        <v>46579</v>
      </c>
      <c r="D49" s="11" t="b">
        <v>1</v>
      </c>
      <c r="E49" s="11" t="b">
        <v>0</v>
      </c>
      <c r="F49" s="11" t="b">
        <v>0</v>
      </c>
      <c r="G49" s="46">
        <f t="shared" si="0"/>
        <v>28.5</v>
      </c>
      <c r="H49" s="46">
        <f t="shared" si="1"/>
        <v>2</v>
      </c>
    </row>
    <row r="50" spans="1:8" x14ac:dyDescent="0.25">
      <c r="A50" s="9">
        <v>36</v>
      </c>
      <c r="B50" s="10">
        <v>46580</v>
      </c>
      <c r="C50" s="10">
        <v>46586</v>
      </c>
      <c r="D50" s="11" t="b">
        <v>1</v>
      </c>
      <c r="E50" s="11" t="b">
        <v>0</v>
      </c>
      <c r="F50" s="11" t="b">
        <v>0</v>
      </c>
      <c r="G50" s="46">
        <f t="shared" si="0"/>
        <v>29.5</v>
      </c>
      <c r="H50" s="46">
        <f t="shared" si="1"/>
        <v>1</v>
      </c>
    </row>
    <row r="51" spans="1:8" x14ac:dyDescent="0.25">
      <c r="A51" s="9">
        <v>37</v>
      </c>
      <c r="B51" s="10">
        <v>46587</v>
      </c>
      <c r="C51" s="10">
        <v>46593</v>
      </c>
      <c r="D51" s="11" t="b">
        <v>1</v>
      </c>
      <c r="E51" s="11" t="b">
        <v>0</v>
      </c>
      <c r="F51" s="11" t="b">
        <v>0</v>
      </c>
      <c r="G51" s="46">
        <f t="shared" si="0"/>
        <v>30.5</v>
      </c>
      <c r="H51" s="46">
        <f t="shared" si="1"/>
        <v>0</v>
      </c>
    </row>
    <row r="52" spans="1:8" x14ac:dyDescent="0.25">
      <c r="A52" s="9">
        <v>38</v>
      </c>
      <c r="B52" s="10">
        <v>46594</v>
      </c>
      <c r="C52" s="10">
        <v>46600</v>
      </c>
      <c r="D52" s="11" t="b">
        <v>0</v>
      </c>
      <c r="E52" s="11" t="b">
        <v>0</v>
      </c>
      <c r="F52" s="11" t="b">
        <v>0</v>
      </c>
      <c r="G52" s="46">
        <f t="shared" si="0"/>
        <v>30.5</v>
      </c>
      <c r="H52" s="46">
        <f t="shared" si="1"/>
        <v>0</v>
      </c>
    </row>
    <row r="53" spans="1:8" x14ac:dyDescent="0.25">
      <c r="A53" s="9"/>
      <c r="B53" s="9"/>
      <c r="C53" s="9"/>
      <c r="D53" s="9"/>
      <c r="E53" s="9"/>
      <c r="F53" s="9"/>
      <c r="G53" s="18"/>
      <c r="H53" s="18"/>
    </row>
    <row r="54" spans="1:8" x14ac:dyDescent="0.25">
      <c r="A54" s="9"/>
      <c r="B54" s="9"/>
      <c r="C54" s="9"/>
      <c r="D54" s="9"/>
      <c r="E54" s="9"/>
      <c r="F54" s="9"/>
      <c r="G54" s="18"/>
      <c r="H54" s="18"/>
    </row>
    <row r="55" spans="1:8" x14ac:dyDescent="0.25">
      <c r="A55" s="9"/>
      <c r="B55" s="9"/>
      <c r="C55" s="9"/>
      <c r="D55" s="9"/>
      <c r="E55" s="9"/>
      <c r="F55" s="9"/>
      <c r="G55" s="18"/>
      <c r="H55" s="18"/>
    </row>
    <row r="56" spans="1:8" x14ac:dyDescent="0.25">
      <c r="A56" s="9"/>
      <c r="B56" s="9"/>
      <c r="C56" s="9"/>
      <c r="D56" s="9"/>
      <c r="E56" s="9"/>
      <c r="F56" s="9"/>
      <c r="G56" s="18"/>
      <c r="H56" s="18"/>
    </row>
    <row r="57" spans="1:8" x14ac:dyDescent="0.25">
      <c r="A57" s="12"/>
      <c r="B57" s="12"/>
      <c r="C57" s="12"/>
      <c r="D57" s="12"/>
      <c r="E57" s="12"/>
      <c r="F57" s="12"/>
      <c r="G57" s="12"/>
      <c r="H57" s="12"/>
    </row>
    <row r="58" spans="1:8" x14ac:dyDescent="0.25">
      <c r="A58" s="12"/>
      <c r="B58" s="12"/>
      <c r="C58" s="12"/>
      <c r="D58" s="12"/>
      <c r="E58" s="12"/>
      <c r="F58" s="12"/>
      <c r="G58" s="12"/>
      <c r="H58" s="12"/>
    </row>
    <row r="59" spans="1:8" x14ac:dyDescent="0.25">
      <c r="A59" s="12"/>
      <c r="B59" s="12"/>
      <c r="C59" s="12"/>
      <c r="D59" s="12"/>
      <c r="E59" s="12"/>
      <c r="F59" s="12"/>
      <c r="G59" s="12"/>
      <c r="H59" s="12"/>
    </row>
    <row r="60" spans="1:8" x14ac:dyDescent="0.25">
      <c r="A60" s="12"/>
      <c r="B60" s="12"/>
      <c r="C60" s="12"/>
      <c r="D60" s="12"/>
      <c r="E60" s="12"/>
      <c r="F60" s="12"/>
      <c r="G60" s="12"/>
      <c r="H60" s="12"/>
    </row>
    <row r="61" spans="1:8" x14ac:dyDescent="0.25">
      <c r="A61" s="12"/>
      <c r="B61" s="12"/>
      <c r="C61" s="12"/>
      <c r="D61" s="12"/>
      <c r="E61" s="12"/>
      <c r="F61" s="12"/>
      <c r="G61" s="12"/>
      <c r="H61" s="12"/>
    </row>
    <row r="62" spans="1:8" x14ac:dyDescent="0.25">
      <c r="A62" s="12"/>
      <c r="B62" s="12"/>
      <c r="C62" s="12"/>
      <c r="D62" s="12"/>
      <c r="E62" s="12"/>
      <c r="F62" s="12"/>
      <c r="G62" s="12"/>
      <c r="H62" s="12"/>
    </row>
    <row r="63" spans="1:8" x14ac:dyDescent="0.25">
      <c r="A63" s="12"/>
      <c r="B63" s="12"/>
      <c r="C63" s="12"/>
      <c r="D63" s="12"/>
      <c r="E63" s="12"/>
      <c r="F63" s="12"/>
      <c r="G63" s="12"/>
      <c r="H63" s="12"/>
    </row>
    <row r="64" spans="1:8" x14ac:dyDescent="0.25">
      <c r="A64" s="12"/>
      <c r="B64" s="12"/>
      <c r="C64" s="12"/>
      <c r="D64" s="12"/>
      <c r="E64" s="12"/>
      <c r="F64" s="12"/>
      <c r="G64" s="12"/>
      <c r="H64" s="12"/>
    </row>
  </sheetData>
  <sheetProtection algorithmName="SHA-512" hashValue="x+aK9IGNmZ2M/znCDKi879rR+sfzeV/7y/zuQqSpBIJHc6AFrYdKMY/xK3XlCrIEJa9jhFb4SGkavjI1K0tb3A==" saltValue="5Wm+zCjZNFRXmGhy18LV1A==" spinCount="100000" sheet="1" formatColumns="0" formatRows="0" insertRows="0" deleteRows="0"/>
  <dataValidations count="3">
    <dataValidation type="list" allowBlank="1" showInputMessage="1" showErrorMessage="1" errorTitle="Unbekannte Schule" error="Bitte eine Schule aus der Liste wählen." sqref="P4" xr:uid="{7F3A0602-E082-42DA-9092-E87FF76A5FFE}">
      <formula1>$L$10:$L$11</formula1>
    </dataValidation>
    <dataValidation type="list" showInputMessage="1" showErrorMessage="1" sqref="B5" xr:uid="{8EFD14D1-39EA-4644-B274-6546F7E8D4AE}">
      <formula1>"ja,nein"</formula1>
    </dataValidation>
    <dataValidation type="list" allowBlank="1" showInputMessage="1" showErrorMessage="1" errorTitle="Unbekannte Schule" error="Bitte eine Schule aus der Liste wählen." sqref="B10" xr:uid="{991B3156-06D3-4BF0-BECF-B0DF6CB7C69B}">
      <formula1>$L$10:$L$11</formula1>
    </dataValidation>
  </dataValidations>
  <pageMargins left="0.7" right="0.7" top="0.78749999999999998" bottom="0.78749999999999998" header="0.511811023622047" footer="0.511811023622047"/>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A654-66BE-4E69-99A8-299B6D64C102}">
  <sheetPr codeName="Tabelle5"/>
  <dimension ref="B1:B104"/>
  <sheetViews>
    <sheetView showGridLines="0" tabSelected="1" topLeftCell="A33" workbookViewId="0">
      <selection activeCell="B2" sqref="B2"/>
    </sheetView>
  </sheetViews>
  <sheetFormatPr baseColWidth="10" defaultRowHeight="15" x14ac:dyDescent="0.25"/>
  <cols>
    <col min="1" max="1" width="3.7109375" style="26" customWidth="1"/>
    <col min="2" max="2" width="118.7109375" style="26" customWidth="1"/>
    <col min="3" max="16384" width="11.42578125" style="26"/>
  </cols>
  <sheetData>
    <row r="1" spans="2:2" ht="9.9499999999999993" customHeight="1" x14ac:dyDescent="0.25"/>
    <row r="2" spans="2:2" ht="32.1" customHeight="1" x14ac:dyDescent="0.45">
      <c r="B2" s="59" t="s">
        <v>51</v>
      </c>
    </row>
    <row r="3" spans="2:2" ht="45" x14ac:dyDescent="0.25">
      <c r="B3" s="60" t="s">
        <v>91</v>
      </c>
    </row>
    <row r="4" spans="2:2" x14ac:dyDescent="0.25">
      <c r="B4" s="61" t="s">
        <v>92</v>
      </c>
    </row>
    <row r="5" spans="2:2" ht="9" customHeight="1" x14ac:dyDescent="0.25"/>
    <row r="6" spans="2:2" ht="26.1" customHeight="1" x14ac:dyDescent="0.25">
      <c r="B6" s="62" t="s">
        <v>93</v>
      </c>
    </row>
    <row r="7" spans="2:2" x14ac:dyDescent="0.25">
      <c r="B7" s="60" t="s">
        <v>94</v>
      </c>
    </row>
    <row r="8" spans="2:2" x14ac:dyDescent="0.25">
      <c r="B8" s="63" t="s">
        <v>95</v>
      </c>
    </row>
    <row r="9" spans="2:2" ht="45" x14ac:dyDescent="0.25">
      <c r="B9" s="63" t="s">
        <v>96</v>
      </c>
    </row>
    <row r="10" spans="2:2" ht="45" x14ac:dyDescent="0.25">
      <c r="B10" s="63" t="s">
        <v>97</v>
      </c>
    </row>
    <row r="11" spans="2:2" ht="45" x14ac:dyDescent="0.25">
      <c r="B11" s="63" t="s">
        <v>98</v>
      </c>
    </row>
    <row r="12" spans="2:2" ht="28.5" x14ac:dyDescent="0.25">
      <c r="B12" s="61" t="s">
        <v>99</v>
      </c>
    </row>
    <row r="13" spans="2:2" x14ac:dyDescent="0.25">
      <c r="B13" s="61" t="s">
        <v>100</v>
      </c>
    </row>
    <row r="14" spans="2:2" ht="9" customHeight="1" x14ac:dyDescent="0.25"/>
    <row r="15" spans="2:2" ht="26.1" customHeight="1" x14ac:dyDescent="0.25">
      <c r="B15" s="62" t="s">
        <v>101</v>
      </c>
    </row>
    <row r="16" spans="2:2" x14ac:dyDescent="0.25">
      <c r="B16" s="60" t="s">
        <v>102</v>
      </c>
    </row>
    <row r="17" spans="2:2" ht="30" x14ac:dyDescent="0.25">
      <c r="B17" s="63" t="s">
        <v>103</v>
      </c>
    </row>
    <row r="18" spans="2:2" ht="30" x14ac:dyDescent="0.25">
      <c r="B18" s="63" t="s">
        <v>104</v>
      </c>
    </row>
    <row r="19" spans="2:2" ht="30" x14ac:dyDescent="0.25">
      <c r="B19" s="63" t="s">
        <v>105</v>
      </c>
    </row>
    <row r="20" spans="2:2" ht="28.5" x14ac:dyDescent="0.25">
      <c r="B20" s="61" t="s">
        <v>106</v>
      </c>
    </row>
    <row r="21" spans="2:2" ht="9" customHeight="1" x14ac:dyDescent="0.25"/>
    <row r="22" spans="2:2" ht="26.1" customHeight="1" x14ac:dyDescent="0.25">
      <c r="B22" s="62" t="s">
        <v>107</v>
      </c>
    </row>
    <row r="23" spans="2:2" x14ac:dyDescent="0.25">
      <c r="B23" s="60" t="s">
        <v>108</v>
      </c>
    </row>
    <row r="24" spans="2:2" ht="30" x14ac:dyDescent="0.25">
      <c r="B24" s="63" t="s">
        <v>109</v>
      </c>
    </row>
    <row r="25" spans="2:2" ht="28.5" x14ac:dyDescent="0.25">
      <c r="B25" s="61" t="s">
        <v>110</v>
      </c>
    </row>
    <row r="26" spans="2:2" ht="30" x14ac:dyDescent="0.25">
      <c r="B26" s="63" t="s">
        <v>111</v>
      </c>
    </row>
    <row r="27" spans="2:2" ht="30" x14ac:dyDescent="0.25">
      <c r="B27" s="63" t="s">
        <v>112</v>
      </c>
    </row>
    <row r="28" spans="2:2" ht="30" x14ac:dyDescent="0.25">
      <c r="B28" s="63" t="s">
        <v>113</v>
      </c>
    </row>
    <row r="29" spans="2:2" x14ac:dyDescent="0.25">
      <c r="B29" s="61" t="s">
        <v>114</v>
      </c>
    </row>
    <row r="30" spans="2:2" ht="9" customHeight="1" x14ac:dyDescent="0.25"/>
    <row r="31" spans="2:2" ht="26.1" customHeight="1" x14ac:dyDescent="0.25">
      <c r="B31" s="62" t="s">
        <v>115</v>
      </c>
    </row>
    <row r="32" spans="2:2" ht="30" x14ac:dyDescent="0.25">
      <c r="B32" s="60" t="s">
        <v>57</v>
      </c>
    </row>
    <row r="33" spans="2:2" ht="60" x14ac:dyDescent="0.25">
      <c r="B33" s="60" t="s">
        <v>116</v>
      </c>
    </row>
    <row r="34" spans="2:2" x14ac:dyDescent="0.25">
      <c r="B34" s="64" t="s">
        <v>117</v>
      </c>
    </row>
    <row r="35" spans="2:2" ht="9" customHeight="1" x14ac:dyDescent="0.25"/>
    <row r="36" spans="2:2" ht="26.1" customHeight="1" x14ac:dyDescent="0.25">
      <c r="B36" s="62" t="s">
        <v>118</v>
      </c>
    </row>
    <row r="37" spans="2:2" ht="30" x14ac:dyDescent="0.25">
      <c r="B37" s="63" t="s">
        <v>119</v>
      </c>
    </row>
    <row r="38" spans="2:2" x14ac:dyDescent="0.25">
      <c r="B38" s="63" t="s">
        <v>120</v>
      </c>
    </row>
    <row r="39" spans="2:2" ht="30" x14ac:dyDescent="0.25">
      <c r="B39" s="63" t="s">
        <v>121</v>
      </c>
    </row>
    <row r="40" spans="2:2" ht="30" x14ac:dyDescent="0.25">
      <c r="B40" s="63" t="s">
        <v>122</v>
      </c>
    </row>
    <row r="41" spans="2:2" x14ac:dyDescent="0.25">
      <c r="B41" s="61" t="s">
        <v>123</v>
      </c>
    </row>
    <row r="42" spans="2:2" ht="9" customHeight="1" x14ac:dyDescent="0.25"/>
    <row r="43" spans="2:2" ht="26.1" customHeight="1" x14ac:dyDescent="0.25">
      <c r="B43" s="62" t="s">
        <v>124</v>
      </c>
    </row>
    <row r="44" spans="2:2" x14ac:dyDescent="0.25">
      <c r="B44" s="63" t="s">
        <v>125</v>
      </c>
    </row>
    <row r="45" spans="2:2" x14ac:dyDescent="0.25">
      <c r="B45" s="63" t="s">
        <v>126</v>
      </c>
    </row>
    <row r="46" spans="2:2" ht="30" x14ac:dyDescent="0.25">
      <c r="B46" s="63" t="s">
        <v>127</v>
      </c>
    </row>
    <row r="47" spans="2:2" ht="9" customHeight="1" x14ac:dyDescent="0.25"/>
    <row r="48" spans="2:2" ht="26.1" customHeight="1" x14ac:dyDescent="0.25">
      <c r="B48" s="62" t="s">
        <v>128</v>
      </c>
    </row>
    <row r="49" spans="2:2" ht="21.95" customHeight="1" x14ac:dyDescent="0.25">
      <c r="B49" s="65" t="s">
        <v>129</v>
      </c>
    </row>
    <row r="50" spans="2:2" x14ac:dyDescent="0.25">
      <c r="B50" s="63" t="s">
        <v>130</v>
      </c>
    </row>
    <row r="51" spans="2:2" x14ac:dyDescent="0.25">
      <c r="B51" s="63" t="s">
        <v>131</v>
      </c>
    </row>
    <row r="52" spans="2:2" x14ac:dyDescent="0.25">
      <c r="B52" s="63" t="s">
        <v>52</v>
      </c>
    </row>
    <row r="53" spans="2:2" x14ac:dyDescent="0.25">
      <c r="B53" s="63" t="s">
        <v>53</v>
      </c>
    </row>
    <row r="54" spans="2:2" x14ac:dyDescent="0.25">
      <c r="B54" s="63" t="s">
        <v>54</v>
      </c>
    </row>
    <row r="55" spans="2:2" x14ac:dyDescent="0.25">
      <c r="B55" s="63" t="s">
        <v>132</v>
      </c>
    </row>
    <row r="56" spans="2:2" x14ac:dyDescent="0.25">
      <c r="B56" s="63" t="s">
        <v>133</v>
      </c>
    </row>
    <row r="57" spans="2:2" ht="30" x14ac:dyDescent="0.25">
      <c r="B57" s="63" t="s">
        <v>134</v>
      </c>
    </row>
    <row r="58" spans="2:2" x14ac:dyDescent="0.25">
      <c r="B58" s="63" t="s">
        <v>55</v>
      </c>
    </row>
    <row r="59" spans="2:2" x14ac:dyDescent="0.25">
      <c r="B59" s="63" t="s">
        <v>56</v>
      </c>
    </row>
    <row r="60" spans="2:2" ht="45" x14ac:dyDescent="0.25">
      <c r="B60" s="63" t="s">
        <v>135</v>
      </c>
    </row>
    <row r="61" spans="2:2" ht="21.95" customHeight="1" x14ac:dyDescent="0.25">
      <c r="B61" s="65" t="s">
        <v>136</v>
      </c>
    </row>
    <row r="62" spans="2:2" ht="30" x14ac:dyDescent="0.25">
      <c r="B62" s="63" t="s">
        <v>137</v>
      </c>
    </row>
    <row r="63" spans="2:2" ht="45" x14ac:dyDescent="0.25">
      <c r="B63" s="63" t="s">
        <v>138</v>
      </c>
    </row>
    <row r="64" spans="2:2" ht="30" x14ac:dyDescent="0.25">
      <c r="B64" s="63" t="s">
        <v>139</v>
      </c>
    </row>
    <row r="65" spans="2:2" x14ac:dyDescent="0.25">
      <c r="B65" s="63" t="s">
        <v>140</v>
      </c>
    </row>
    <row r="66" spans="2:2" x14ac:dyDescent="0.25">
      <c r="B66" s="63" t="s">
        <v>141</v>
      </c>
    </row>
    <row r="67" spans="2:2" ht="21.95" customHeight="1" x14ac:dyDescent="0.25">
      <c r="B67" s="65" t="s">
        <v>142</v>
      </c>
    </row>
    <row r="68" spans="2:2" ht="30" x14ac:dyDescent="0.25">
      <c r="B68" s="63" t="s">
        <v>143</v>
      </c>
    </row>
    <row r="69" spans="2:2" ht="30" x14ac:dyDescent="0.25">
      <c r="B69" s="63" t="s">
        <v>144</v>
      </c>
    </row>
    <row r="70" spans="2:2" ht="30" x14ac:dyDescent="0.25">
      <c r="B70" s="63" t="s">
        <v>145</v>
      </c>
    </row>
    <row r="71" spans="2:2" x14ac:dyDescent="0.25">
      <c r="B71" s="60" t="s">
        <v>146</v>
      </c>
    </row>
    <row r="72" spans="2:2" ht="30" x14ac:dyDescent="0.25">
      <c r="B72" s="63" t="s">
        <v>147</v>
      </c>
    </row>
    <row r="73" spans="2:2" ht="30" x14ac:dyDescent="0.25">
      <c r="B73" s="63" t="s">
        <v>148</v>
      </c>
    </row>
    <row r="74" spans="2:2" ht="30" x14ac:dyDescent="0.25">
      <c r="B74" s="63" t="s">
        <v>149</v>
      </c>
    </row>
    <row r="75" spans="2:2" ht="28.5" x14ac:dyDescent="0.25">
      <c r="B75" s="61" t="s">
        <v>150</v>
      </c>
    </row>
    <row r="76" spans="2:2" ht="28.5" x14ac:dyDescent="0.25">
      <c r="B76" s="61" t="s">
        <v>151</v>
      </c>
    </row>
    <row r="77" spans="2:2" x14ac:dyDescent="0.25">
      <c r="B77" s="61" t="s">
        <v>152</v>
      </c>
    </row>
    <row r="78" spans="2:2" ht="9" customHeight="1" x14ac:dyDescent="0.25"/>
    <row r="79" spans="2:2" ht="21.95" customHeight="1" x14ac:dyDescent="0.25">
      <c r="B79" s="65" t="s">
        <v>153</v>
      </c>
    </row>
    <row r="80" spans="2:2" ht="30" x14ac:dyDescent="0.25">
      <c r="B80" s="63" t="s">
        <v>154</v>
      </c>
    </row>
    <row r="81" spans="2:2" x14ac:dyDescent="0.25">
      <c r="B81" s="63" t="s">
        <v>155</v>
      </c>
    </row>
    <row r="82" spans="2:2" ht="30" x14ac:dyDescent="0.25">
      <c r="B82" s="63" t="s">
        <v>156</v>
      </c>
    </row>
    <row r="83" spans="2:2" x14ac:dyDescent="0.25">
      <c r="B83" s="63" t="s">
        <v>157</v>
      </c>
    </row>
    <row r="84" spans="2:2" ht="9" customHeight="1" x14ac:dyDescent="0.25"/>
    <row r="86" spans="2:2" ht="8.1" customHeight="1" x14ac:dyDescent="0.25"/>
    <row r="87" spans="2:2" ht="24" customHeight="1" x14ac:dyDescent="0.25"/>
    <row r="96" spans="2:2" ht="8.1" customHeight="1" x14ac:dyDescent="0.25"/>
    <row r="97" s="26" customFormat="1" ht="24" customHeight="1" x14ac:dyDescent="0.25"/>
    <row r="104" s="26" customFormat="1" ht="8.1" customHeight="1" x14ac:dyDescent="0.25"/>
  </sheetData>
  <sheetProtection algorithmName="SHA-512" hashValue="T5s/MbawOXlTx6sD7ZT180ZGSmlzywcD36HDClcQfKHL+DM2JYcgJMlNPSlcoGsG34dbViPvKRIpYJ6Fj2vhhQ==" saltValue="sAUvpwTXBmqb0s9m3yEjPw==" spinCount="100000" sheet="1" formatColumns="0" formatRows="0"/>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8</vt:i4>
      </vt:variant>
    </vt:vector>
  </HeadingPairs>
  <TitlesOfParts>
    <vt:vector size="13" baseType="lpstr">
      <vt:lpstr>Steuerung</vt:lpstr>
      <vt:lpstr>Wochenplan</vt:lpstr>
      <vt:lpstr>Lernbereiche</vt:lpstr>
      <vt:lpstr>Einstellungen</vt:lpstr>
      <vt:lpstr>Anleitung</vt:lpstr>
      <vt:lpstr>Lernbereiche!Druckbereich</vt:lpstr>
      <vt:lpstr>Wochenplan!Druckbereich</vt:lpstr>
      <vt:lpstr>Lernbereiche!Drucktitel</vt:lpstr>
      <vt:lpstr>Wochenplan!Drucktitel</vt:lpstr>
      <vt:lpstr>wpHalbeKlasse</vt:lpstr>
      <vt:lpstr>wpHalbeWoche</vt:lpstr>
      <vt:lpstr>wpPdfFormat</vt:lpstr>
      <vt:lpstr>wpStundenListe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Max Mustermann</cp:lastModifiedBy>
  <cp:revision>0</cp:revision>
  <cp:lastPrinted>2026-09-03T19:03:05Z</cp:lastPrinted>
  <dcterms:created xsi:type="dcterms:W3CDTF">2026-08-29T09:09:39Z</dcterms:created>
  <dcterms:modified xsi:type="dcterms:W3CDTF">2026-09-07T08:43:54Z</dcterms:modified>
  <dc:language>en-US</dc:language>
</cp:coreProperties>
</file>