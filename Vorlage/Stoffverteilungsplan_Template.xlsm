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DieseArbeitsmappe"/>
  <mc:AlternateContent xmlns:mc="http://schemas.openxmlformats.org/markup-compatibility/2006">
    <mc:Choice Requires="x15">
      <x15ac:absPath xmlns:x15ac="http://schemas.microsoft.com/office/spreadsheetml/2010/11/ac" url="https://bonaventuragym-my.sharepoint.com/personal/florian_reiser_bonaventura-fos_de/Documents/Dokumente/Schule/2026-27/Stoffverteilungsplan/"/>
    </mc:Choice>
  </mc:AlternateContent>
  <xr:revisionPtr revIDLastSave="20566" documentId="8_{82032AC9-CBC0-4715-971A-53BA264CB40D}" xr6:coauthVersionLast="47" xr6:coauthVersionMax="47" xr10:uidLastSave="{17516193-329E-43DF-BB68-9575DDDC5F48}"/>
  <workbookProtection workbookAlgorithmName="SHA-512" workbookHashValue="za8tCKM6Si/1z1OH0MxJuJr4uC2w8cyWWzFPHOZXcVHGEzU/aPMHHOzK2lVa6D9gLdmG3vNbPErR2AkN5IuAEw==" workbookSaltValue="u2WhaFXdQWl65MOEHKcQOQ==" workbookSpinCount="100000" lockStructure="1"/>
  <bookViews>
    <workbookView xWindow="25695" yWindow="0" windowWidth="26010" windowHeight="20985" tabRatio="500" xr2:uid="{00000000-000D-0000-FFFF-FFFF00000000}"/>
  </bookViews>
  <sheets>
    <sheet name="Steuerung" sheetId="5" r:id="rId1"/>
    <sheet name="Wochenplan" sheetId="2" r:id="rId2"/>
    <sheet name="Lernbereiche" sheetId="3" r:id="rId3"/>
    <sheet name="Einstellungen" sheetId="4" r:id="rId4"/>
    <sheet name="Anleitung" sheetId="6" r:id="rId5"/>
  </sheets>
  <definedNames>
    <definedName name="_xlnm.Print_Area" localSheetId="2">Lernbereiche!$A$3:$J$14</definedName>
    <definedName name="_xlnm.Print_Area" localSheetId="1">Wochenplan!$B$3:$M$39</definedName>
    <definedName name="_xlnm.Print_Titles" localSheetId="2">Lernbereiche!$3:$3</definedName>
    <definedName name="_xlnm.Print_Titles" localSheetId="1">Wochenplan!$3:$3</definedName>
    <definedName name="wpAnleitungStand" hidden="1">"2026-09-05a"</definedName>
    <definedName name="wpHalbeKlasse">Einstellungen!$F$15:$F$52</definedName>
    <definedName name="wpHalbeWoche">Einstellungen!$E$15:$E$52</definedName>
    <definedName name="wpPdfFormat">Steuerung!$B$16</definedName>
    <definedName name="wpStundenListe">Einstellungen!$M$2:$M$6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R4" i="2" l="1"/>
  <c r="Q4" i="2"/>
  <c r="U4" i="2" a="1"/>
  <c r="V4" i="2"/>
  <c r="B4" i="2"/>
  <c r="A4" i="2"/>
  <c r="B4" i="5"/>
  <c r="G15" i="4"/>
  <c r="G16" i="4" s="1"/>
  <c r="G17" i="4" s="1"/>
  <c r="G18" i="4" s="1"/>
  <c r="G19" i="4" s="1"/>
  <c r="G20" i="4" s="1"/>
  <c r="G21" i="4" s="1"/>
  <c r="G22" i="4" s="1"/>
  <c r="G23" i="4" s="1"/>
  <c r="G24" i="4" s="1"/>
  <c r="G25" i="4" s="1"/>
  <c r="G26" i="4" s="1"/>
  <c r="G27" i="4" s="1"/>
  <c r="G28" i="4" s="1"/>
  <c r="G29" i="4" s="1"/>
  <c r="G30" i="4" s="1"/>
  <c r="G31" i="4" s="1"/>
  <c r="G32" i="4" s="1"/>
  <c r="G33" i="4" s="1"/>
  <c r="G34" i="4" s="1"/>
  <c r="G35" i="4" s="1"/>
  <c r="G36" i="4" s="1"/>
  <c r="G37" i="4" s="1"/>
  <c r="G38" i="4" s="1"/>
  <c r="G39" i="4" s="1"/>
  <c r="G40" i="4" s="1"/>
  <c r="G41" i="4" s="1"/>
  <c r="G42" i="4" s="1"/>
  <c r="G43" i="4" s="1"/>
  <c r="G44" i="4" s="1"/>
  <c r="G45" i="4" s="1"/>
  <c r="G46" i="4" s="1"/>
  <c r="G47" i="4" s="1"/>
  <c r="G48" i="4" s="1"/>
  <c r="G49" i="4" s="1"/>
  <c r="G50" i="4" s="1"/>
  <c r="G51" i="4" s="1"/>
  <c r="G52" i="4" s="1"/>
  <c r="B4" i="4"/>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3" i="4" s="1"/>
  <c r="H44" i="4" s="1"/>
  <c r="H45" i="4" s="1"/>
  <c r="H46" i="4" s="1"/>
  <c r="H47" i="4" s="1"/>
  <c r="H48" i="4" s="1"/>
  <c r="H49" i="4" s="1"/>
  <c r="H50" i="4" s="1"/>
  <c r="H51" i="4" s="1"/>
  <c r="H52" i="4" s="1"/>
  <c r="H11" i="3"/>
  <c r="G11" i="3"/>
  <c r="F11" i="3"/>
  <c r="E11" i="3"/>
  <c r="P4" i="2" l="1"/>
  <c r="O3" i="2" s="1"/>
  <c r="D4" i="2"/>
  <c r="L4" i="2"/>
  <c r="C4"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<sst xmlns="http://schemas.openxmlformats.org/spreadsheetml/2006/main" count="161" uniqueCount="159">
  <si>
    <t>KW</t>
  </si>
  <si>
    <t>Referenzcode</t>
  </si>
  <si>
    <t>Thema</t>
  </si>
  <si>
    <t>Kompetenzen (Kurzfassung, siehe Lernbereiche-Blatt für Details)</t>
  </si>
  <si>
    <t>Material / Aufgaben</t>
  </si>
  <si>
    <t>Erledigt</t>
  </si>
  <si>
    <t>Notizen</t>
  </si>
  <si>
    <t>UW</t>
  </si>
  <si>
    <t>Stofferarbeitung</t>
  </si>
  <si>
    <t>von
(Unterrichtswoche)</t>
  </si>
  <si>
    <t>bis
(Unterrichtswoche)</t>
  </si>
  <si>
    <t>Lernbereich</t>
  </si>
  <si>
    <t>Std. lt. Lehrplan</t>
  </si>
  <si>
    <t>Wochen (lt. Lehrplan)</t>
  </si>
  <si>
    <t>Geplante Stunden</t>
  </si>
  <si>
    <t>Geplante Wochen</t>
  </si>
  <si>
    <t>noch verfügbare Wochen bis Jahresende</t>
  </si>
  <si>
    <t>Kompetenzerwartungen (Kurzfassung, eigene Formulierung nach LehrplanPLUS)</t>
  </si>
  <si>
    <t>Summe</t>
  </si>
  <si>
    <t>Stunden pro Woche</t>
  </si>
  <si>
    <t>verfügbare Wochen insgesamt</t>
  </si>
  <si>
    <t>Wochen im Schuljahr minus Ferienwochen</t>
  </si>
  <si>
    <t>verfügbare Klassen-Wochen</t>
  </si>
  <si>
    <t>Verfügbare Wochen bereinigt um bereits bekannte Termine und Ausfallzeiten</t>
  </si>
  <si>
    <t>Vorbereitung SA</t>
  </si>
  <si>
    <t>Schulwoche</t>
  </si>
  <si>
    <t>halbe Woche</t>
  </si>
  <si>
    <t>verfügbare Wochen</t>
  </si>
  <si>
    <t>noch verfügbare Wochen</t>
  </si>
  <si>
    <t>Puffer</t>
  </si>
  <si>
    <t>Referenz Code</t>
  </si>
  <si>
    <t>Stunde</t>
  </si>
  <si>
    <t>Auswahlbereich für Stunde</t>
  </si>
  <si>
    <t>Datum von</t>
  </si>
  <si>
    <t>Datum bis</t>
  </si>
  <si>
    <t>Datum</t>
  </si>
  <si>
    <t>Falscher Referenzcode</t>
  </si>
  <si>
    <t>Lehrplan Code (M##.P für Prüfungen)</t>
  </si>
  <si>
    <t>Wie viele Stunden pro Woche sind für das Fach vorgesehen</t>
  </si>
  <si>
    <t>Schuljahresstart</t>
  </si>
  <si>
    <t>Bitte hier das Jahr eintragen, in dem das Schuljahr beginnt</t>
  </si>
  <si>
    <t>UW
nicht vefügbar</t>
  </si>
  <si>
    <t>UW
kleiner als Vorherige</t>
  </si>
  <si>
    <t>UW
zu groß</t>
  </si>
  <si>
    <t>Verschiebbar</t>
  </si>
  <si>
    <t>halbe Klasse</t>
  </si>
  <si>
    <t>Woche verfügbar</t>
  </si>
  <si>
    <t>Hinweis</t>
  </si>
  <si>
    <t>Stoffverteilungsplan fixiert</t>
  </si>
  <si>
    <t>Ferien von</t>
  </si>
  <si>
    <t>Ferien bis</t>
  </si>
  <si>
    <t>Stoffverteilungsplan - Kurzanleitung</t>
  </si>
  <si>
    <t>C  Datum, D  KW - kommen automatisch aus der Unterrichtswoche.</t>
  </si>
  <si>
    <t>E  UW - die Unterrichtswoche. Wird erzeugt, bleibt aber von Hand änderbar.</t>
  </si>
  <si>
    <t>F  Lehrplan-Code - z. B. M10.1, bei Prüfungen M10.P.</t>
  </si>
  <si>
    <t>L  Hinweis - zeigt automatisch "1/2 Woche" bzw. "1/2 Klasse".</t>
  </si>
  <si>
    <t>M  Notizen - freier Text.</t>
  </si>
  <si>
    <t>Solange der Plan offen ist, wird der Referenz Code in Spalte B berechnet - er ändert sich also, sobald Zeilen verschoben oder eingefügt werden.</t>
  </si>
  <si>
    <t>Herbstferien</t>
  </si>
  <si>
    <t>Weihnachtsferien</t>
  </si>
  <si>
    <t>Osterferien</t>
  </si>
  <si>
    <t>Pfingstferien</t>
  </si>
  <si>
    <t>Fach</t>
  </si>
  <si>
    <t>Klasse</t>
  </si>
  <si>
    <t>Schule</t>
  </si>
  <si>
    <t>Lehrkraft</t>
  </si>
  <si>
    <t xml:space="preserve">Beispiel-Gymnasium</t>
  </si>
  <si>
    <t xml:space="preserve">Beispiel-FOS</t>
  </si>
  <si>
    <t>Stoffverteilungsplan</t>
  </si>
  <si>
    <t>Die vier kleinen Schaltflächen zum Verschieben, Einfügen und Löschen von Zeilen erscheinen direkt im Wochenplan, sobald dort eine Zeile markiert ist.</t>
  </si>
  <si>
    <t>Im Alltag</t>
  </si>
  <si>
    <t>Selten gebraucht</t>
  </si>
  <si>
    <t>Schulliste</t>
  </si>
  <si>
    <t>Ferien / eingeplante Fehlzeiten</t>
  </si>
  <si>
    <t>Blattschutz: aktiv</t>
  </si>
  <si>
    <t>Papierformat für den Export. DIN A3 lohnt sich, wenn die Spalten auf A4 zu schmal zusammengedrückt werden.</t>
  </si>
  <si>
    <t>nein</t>
  </si>
  <si>
    <t>Wird über die Schaltfläche im Blatt 'Steuerung' gesetzt</t>
  </si>
  <si>
    <t>Erwartungswert lt. LehrplanPLUS: … Std. – zum Abgleich mit der Summenformel links.</t>
  </si>
  <si>
    <t>SA/KA/kasL</t>
  </si>
  <si>
    <t>Faschingsferien</t>
  </si>
  <si>
    <t>DIN A4</t>
  </si>
  <si>
    <t>Schuljahr 2026/27</t>
  </si>
  <si>
    <t>Der Knopf, mit dem die Planung beginnt - und mit dem man sie jederzeit wieder gerade rückt. Er trägt im Blatt "Wochenplan" in Spalte E ("UW") die verfügbaren Unterrichtswochen der Reihe nach ein, setzt die grauen Ferienzeilen an die passenden Stellen und füllt Datum (C) und KW (D) neu. BESTANDSDATEN BLEIBEN ERHALTEN: was in den Spalten F bis M steht - Lehrplan-Code, Thema, Kompetenzen, Material, Erledigt-Haken, Stunde, Hinweis, Notizen - wandert mit seiner Zeile mit und wird nicht angetastet. Es ändert sich nur, welche Unterrichtswoche neben welcher Zeile steht. Nach jedem Einfügen, Löschen oder Verschieben von Zeilen und nach jeder Änderung an der Ferientabelle einmal drücken.</t>
  </si>
  <si>
    <t>Friert im Blatt "Wochenplan" die Referenz-Codes in Spalte B ein: aus den Formeln werden feste Texte. Ab dann wandert der Code beim Verschieben mit seiner Zeile mit und ändert sich auch nicht mehr, wenn oberhalb Zeilen dazukommen oder wegfallen. Drücken, sobald die Planung steht und du die Codes weitergibst - etwa auf Arbeitsblättern.</t>
  </si>
  <si>
    <t>Macht die Referenz-Codes in Spalte B des Blattes "Wochenplan" wieder zu Formeln. ACHTUNG: dabei werden ALLE Codes neu durchnummeriert. Bereits weitergegebene Codes stimmen danach nicht mehr - nur benutzen, solange niemand mit ihnen arbeitet.</t>
  </si>
  <si>
    <t>Update</t>
  </si>
  <si>
    <t>Für ein Update NICHT nötig - dafür ist "Daten importieren" da. Baut dieses Blatt, die Hilfsangaben im Blatt "Einstellungen", die Formelspalten des "Wochenplan" (A bis D, L und die ausgeblendeten Hilfsspalten rechts) sowie die Rechenspalten F bis I und die Summenzeile in "Lernbereiche" neu auf und setzt den Blattschutz frisch. Für den Spezialfall, dass etwas verrutscht ist oder eine Fehlermeldung darum bittet.</t>
  </si>
  <si>
    <t>Zwei weitere Schaltflächen sitzen dort, wo sie gebraucht werden, beide im Blatt "Einstellungen": "Ferien aus Kalender vorschlagen" direkt über der Ferientabelle (Spalten I bis K) und "Kopf übernehmen" bei den vier Kopfangaben Fach, Klasse, Schule und Lehrkraft.</t>
  </si>
  <si>
    <t>Schreibt beide Blätter in EINE PDF-Datei: zuerst "Wochenplan" (Spalten B bis M), dahinter "Lernbereiche" (Spalten A bis J). Immer quer, die Breite wird auf eine Seite skaliert. Ordner und Dateiname fragt der gewohnte Speichern-Dialog ab; den zuletzt benutzten Ordner merkt sich die Datei.</t>
  </si>
  <si>
    <t>DER VORGESEHENE WEG FÜR EIN UPDATE. Eine neue Fassung der Mappe kommt als fertige, leere Datei und bringt die aktuellen Makros schon mit. Dieser Knopf holt deine bisherigen Inhalte aus der alten Datei herein und baut den Plan fertig auf; die alte Datei wird dabei nur gelesen. Danach nur noch speichern. Geht nur in eine Mappe, in der noch nichts geplant ist. Was im Einzelnen übernommen wird, steht im Blatt "Anleitung" unter "Eine neue Fassung der Mappe".</t>
  </si>
  <si>
    <r>
      <t>ACHTUNG:</t>
    </r>
    <r>
      <rPr>
        <sz val="9"/>
        <color rgb="FF646E80"/>
        <rFont val="Calibri"/>
        <family val="2"/>
        <charset val="1"/>
      </rPr>
      <t xml:space="preserve">  Hebt den Schutz aller Blätter auf. Danach ist alles änderbar - auch das, was die Makros brauchen. Zwei Dinge gehen dabei erfahrungsgemäß schief: Erstens sind eigene Umbauten beim nächsten Update WEG, denn übernommen werden nur deine Inhalte, nicht dein Blattaufbau. Zweitens reicht ein Sortieren, ein Ausschneiden-und-Einfügen oder eine gelöschte Spalte, um die Formelbezüge reihum zu zerlegen - danach rechnet nichts mehr richtig, und man sieht es erst Wochen später. Genau davor schützt der Blattschutz. Nur einschalten, wenn du weißt, was du tust - und danach sofort wieder zurückstellen.</t>
    </r>
  </si>
  <si>
    <t>Eine Mappe je Klasse und Fach. Du arbeitest dich in drei Schritten vor: erst klärst du, welche Wochen das Schuljahr überhaupt hergibt, dann verteilst du die Lernbereiche grob darauf, und zum Schluss planst du Woche für Woche. Das Rechnen und Prüfen übernimmt die Mappe.</t>
  </si>
  <si>
    <t>Die Makros sind bereits eingebaut. Du musst nichts importieren und nichts über Alt+F8 starten - alles läuft über die Schaltflächen.</t>
  </si>
  <si>
    <t>Schritt 1   Einstellungen - welche Wochen hast du überhaupt?</t>
  </si>
  <si>
    <t>Ziel: Am Ende dieses Schritts weißt du, wie viele Unterrichtswochen dir in dieser Klasse wirklich bleiben.</t>
  </si>
  <si>
    <t>Oben links Schuljahresstart (das Jahr, in dem das Schuljahr beginnt) und Stunden pro Woche eintragen.</t>
  </si>
  <si>
    <t>Im Schulwochen-Kalender bei jeder Woche das Häkchen "Woche verfügbar" setzen oder wegnehmen. Wandertage, Praktika und Prüfungswochen also abwählen. "halbe Woche" und "halbe Klasse" für alles, was nur zur Hälfte stattfindet - beides zählt in der Stundenrechnung mit.</t>
  </si>
  <si>
    <t>Ferientabelle rechts daneben: die Schaltfläche "Ferien aus Kalender vorschlagen" darüber füllt sie aus den Lücken zwischen den Schulwochen. Bezeichnungen kurz prüfen, fertig. Die Spalte heißt bewusst "Ferien / eingeplante Fehlzeiten": dort gehört alles hinein, was Unterricht kostet - auch Fortbildungen, Praktika oder ein Schullandheimaufenthalt.</t>
  </si>
  <si>
    <t>Die vier Kopfangaben eintragen: Fach, Klasse, Schule (Auswahlliste) und Lehrkraft. Danach "Kopf übernehmen" drücken - das schreibt über die Tabellen in "Wochenplan" und "Lernbereiche" eine Titelzeile: links das Schullogo, daneben Fach und Klasse, rechts Lehrkraft und Schuljahr.</t>
  </si>
  <si>
    <t>Die Titelzeile braucht nur eine einzige Zeile. Der Schulname steht nicht extra dabei - er steht schon im Logo. Beide Schullogos stecken fertig in der Mappe; welches erscheint, entscheidet allein die Auswahl bei "Schule".</t>
  </si>
  <si>
    <t>Die Zahl, auf die es ankommt, steht oben links: "verfügbare Klassen-Wochen". Mit ihr planst du im nächsten Schritt.</t>
  </si>
  <si>
    <t>Schritt 2   Lernbereiche - die Grobplanung</t>
  </si>
  <si>
    <t>Ziel: Du verteilst die Lernbereiche des LehrplanPLUS auf das Schuljahr - noch ohne einzelne Stunden.</t>
  </si>
  <si>
    <t>Je Lernbereich eine Zeile: Referenzcode (z. B. M10.1), Bezeichnung und "Std. lt. Lehrplan". Die Kompetenzerwartungen kannst du rechts in der letzten Spalte sammeln.</t>
  </si>
  <si>
    <t>Dann "von" und "bis" als Unterrichtswoche eintragen. Die Spalten rechts rechnen sofort mit: wie viele Wochen der Lehrplan vorsieht, wie viele du tatsächlich eingeplant hast und was bis zum Jahresende noch übrig bleibt.</t>
  </si>
  <si>
    <t>So lange schieben, bis die Summe unten zum Erwartungswert des Lehrplans passt und am Jahresende noch Luft für Puffer bleibt.</t>
  </si>
  <si>
    <t>Der Referenzcode ist das Bindeglied zwischen den Blättern: Er taucht im Wochenplan in Spalte F wieder auf. Passt ein Code dort nicht zu der Woche, in der die Zeile steht, meldet sich die Warnspalte. Prüfungszeilen sind ausgenommen - sie enden auf ".P" (z. B. M10.P).</t>
  </si>
  <si>
    <t>Schritt 3   Wochenplan - die Feinplanung</t>
  </si>
  <si>
    <t>Ziel: Jede Unterrichtswoche bekommt ihr Thema.</t>
  </si>
  <si>
    <t>Einmal im Blatt "Steuerung" auf "Wochenplan neu aufbauen" drücken. Danach hat jede Zeile ihre Unterrichtswoche in Spalte E, und dazwischen stehen die grauen Ferienzeilen.</t>
  </si>
  <si>
    <t>Diesen Knopf darfst du jederzeit wieder drücken, auch wenn der Plan schon voll ist. Er ordnet nur die Unterrichtswochen und die Ferienzeilen neu - deine Einträge in den Spalten F bis M bleiben unangetastet und wandern mit ihrer Zeile mit.</t>
  </si>
  <si>
    <t>Jetzt Zeile für Zeile füllen: Lehrplan-Code (F), Thema (G), Kompetenzen (H), Material (I), Art der Stunde (K) und bei Bedarf Notizen (M).</t>
  </si>
  <si>
    <t>Die Auswahl in Spalte K färbt die Zeile ein. So siehst du auf einen Blick, wo Schulaufgaben, Puffer und verschiebbare Stunden liegen.</t>
  </si>
  <si>
    <t>Reihenfolge ändern: Zeilen markieren - links am Rand erscheinen vier kleine Schaltflächen (hoch, plus, minus, runter). Die Unterrichtswochen bleiben stehen, es wandern nur die Inhalte, und Ferienzeilen werden übersprungen.</t>
  </si>
  <si>
    <t>Steht oben rechts "Warnungen", passt irgendwo etwas nicht zusammen. Die betroffene Zeile hat in Spalte A ein "!".</t>
  </si>
  <si>
    <t>Wenn die Planung steht</t>
  </si>
  <si>
    <t>Sobald du die Codes verwendest bzw. weitergibst (z. B. in deinem Lehrerplaner oder weil du dich mit einem Kollegen über den Code abstimmst), klick im Blatt "Steuerung" auf "Stoffverteilungsplan fixieren". Danach sind die Codes feste Werte: sie wandern beim Verschieben mit, bleiben beim Löschen anderer Zeilen unverändert, und eine neue Zeile bekommt einen noch nie vergebenen Code, sobald du in Spalte F den Lehrplan-Code einträgst.</t>
  </si>
  <si>
    <t>'Fixierung aufheben'' nummeriert ALLE Codes neu durch. Nur benutzen, solange noch niemand mit den alten Codes arbeitet.</t>
  </si>
  <si>
    <t>Als PDF weitergeben</t>
  </si>
  <si>
    <t>Im Blatt "Steuerung" unter der Schaltfläche das Papierformat wählen (DIN A4 oder - bei vielen Spalten angenehmer zu lesen - DIN A3), dann auf "Als PDF exportieren" klicken.</t>
  </si>
  <si>
    <t>Das PDF enthält zuerst den kompletten "Wochenplan", danach die "Lernbereiche", in einer einzigen Datei.</t>
  </si>
  <si>
    <t>Gedruckt wird immer im Querformat, und die Breite wird so skaliert, dass die Spalten B bis M auf die Seite passen. Es rutscht also nichts seitlich auf eine zweite Seite.</t>
  </si>
  <si>
    <t>Es kommt der gewohnte Speichern-Dialog: Ordner und Dateiname sind frei wählbar, vorgeschlagen wird der Ordner der Mappe und ein Name aus Fach und Klasse.</t>
  </si>
  <si>
    <t>Der Titelblock erscheint nur einmal ganz oben, nicht auf jeder Seite - das spart Platz. Wiederholt wird auf jeder Seite die Überschriftenzeile.</t>
  </si>
  <si>
    <t>Im laufenden Schuljahr</t>
  </si>
  <si>
    <t>Erledigtes in Spalte J abhaken - die Zeile wird dann leicht grün und unterstrichen dargestellt.</t>
  </si>
  <si>
    <t>Was verschoben werden muss, mit den vier Schaltflächen umsortieren.</t>
  </si>
  <si>
    <t>Ändert sich der Kalender (zusätzlicher Feiertag, ausgefallene Woche), das Häkchen in den Einstellungen anpassen und einmal "Wochenplan neu aufbauen" drücken.</t>
  </si>
  <si>
    <t>Zum Nachschlagen</t>
  </si>
  <si>
    <t>Die Spalten im Blatt Wochenplan</t>
  </si>
  <si>
    <t>A  Warnkennzeichen - ein "!" heißt: in dieser Zeile stimmt etwas nicht.</t>
  </si>
  <si>
    <t>B  Referenz Code - berechnet oder nach dem Fixieren ein fester Wert.</t>
  </si>
  <si>
    <t>G  Thema     H  Kompetenzen     I  Material / Aufgaben</t>
  </si>
  <si>
    <t>J  Erledigt - Kontrollkästchen. Abgehakte Zeilen werden farblich hervorgehoben.</t>
  </si>
  <si>
    <t>K  Stunde - Auswahlliste: Stofferarbeitung, Vorbereitung SA, SA/KA/kasL, Puffer, Verschiebbar. Je nach Auswahl bekommt die Zeile eine andere Farbe.</t>
  </si>
  <si>
    <t>N bis V sind Hilfsspalten der Automatik. Bitte nicht von Hand ändern. In Spalte N steht bei den grauen Zwischenzeilen ein Kennzeichen - in der Hintergrundfarbe geschrieben, also nicht zu sehen. Die Einzelheiten zu den Warnungen stehen in den ausgeblendeten Spalten P bis S - über das kleine Plus oberhalb der Spaltenköpfe einblendbar.</t>
  </si>
  <si>
    <t>Was gesperrt ist und warum</t>
  </si>
  <si>
    <t>Beschreibbar sind nur die Zellen, die du wirklich pflegst: im Wochenplan die Spalten E bis K und M, in Lernbereiche die Eingabespalten, in Einstellungen die Kopfwerte, der Kalender, die Ferientabelle und die vier Kopfangaben.</t>
  </si>
  <si>
    <t>Im Wochenplan lassen sich Zeilen über das Excel-Kontextmenü weder einfügen noch löschen, verschieben oder sortieren. Der Plan lebt davon, dass Zeilen, Unterrichtswochen, Ferienzeilen und Formeln zusammenpassen - dafür gibt es die vier Schaltflächen am Zeilenrand.</t>
  </si>
  <si>
    <t>In Lernbereiche und Einstellungen darfst du Zeilen einfügen und löschen. Unterhalb der Daten stehen ausserdem freie Zeilen bereit.</t>
  </si>
  <si>
    <t>Die Stundenliste in Einstellungen ist gesperrt: an ihr hängen die Farbregeln und die Auswahlliste der Spalte K.</t>
  </si>
  <si>
    <t>Musst du doch einmal ganz frei arbeiten: "Steuerung", "Blattschutz ein / aus" - und danach bitte wieder einschalten.</t>
  </si>
  <si>
    <t>Eine neue Fassung der Mappe</t>
  </si>
  <si>
    <t>Neue Fassungen kommen als fertige, leere Datei - sie bringen die aktuellen Makros schon mit. Du importierst nichts und stellst nichts um.</t>
  </si>
  <si>
    <t>Die neue Datei öffnen, Makros zulassen, im Blatt "Steuerung" unter "Update" auf "Daten importieren" klicken und deine bisherige Datei auswählen.</t>
  </si>
  <si>
    <t>Danach speichern - am besten unter dem Namen der bisherigen Datei. Deine alte Datei wird beim Import nur gelesen und bleibt unverändert.</t>
  </si>
  <si>
    <t>Übernommen wird alles, was du selbst eingetragen hast:</t>
  </si>
  <si>
    <t>Einstellungen: Schuljahresstart, Stunden pro Woche, verfügbare Wochen, der komplette Schulwochen-Kalender mit allen Häkchen, die Ferientabelle und die vier Kopfangaben.</t>
  </si>
  <si>
    <t>Lernbereiche: alle Zeilen bis zur Summe - Referenzcode, von, bis, Bezeichnung, Std. lt. Lehrplan und die Kompetenzerwartungen (Spalten A bis E und J).</t>
  </si>
  <si>
    <t>Wochenplan: je Planzeile die Spalten E bis K und M, also Unterrichtswoche, Lehrplan-Code, Thema, Kompetenzen, Material, das Erledigt-Häkchen, die Art der Stunde und die Notizen.</t>
  </si>
  <si>
    <t>Nicht übernommen wird, was ohnehin berechnet wird: Referenz-Codes, Datum, KW, die Warnspalten, die Ferienzeilen und die Rechenspalten der Lernbereiche. Das baut die neue Mappe selbst auf - deshalb muss danach nichts mehr gedrückt werden.</t>
  </si>
  <si>
    <t>Ebenfalls nicht übernommen wird ein eigener Umbau des Blattaufbaus. Wer Spalten verschiebt oder Formeln umschreibt, verliert das beim nächsten Update.</t>
  </si>
  <si>
    <t>Der Import geht nur in eine Mappe, in der noch nichts geplant ist. Das ist Absicht: so kann ein Fehlklick nichts kosten.</t>
  </si>
  <si>
    <t>Wenn etwas klemmt</t>
  </si>
  <si>
    <t>Die Schaltflächen reagieren nicht: Excel hat die Makros blockiert. Datei schließen, im Explorer rechts anklicken, Eigenschaften, unten "Zulassen" ankreuzen, wieder öffnen und "Inhalt aktivieren" wählen.</t>
  </si>
  <si>
    <t>Die Mappe muss als .xlsm gespeichert werden, sonst gehen beim Speichern alle Funktionen verloren.</t>
  </si>
  <si>
    <t>Farben oder Formeln sehen seltsam aus: "Steuerung", "Einrichtung / Reparatur" drücken. Das ist der Reparaturknopf, nicht der Update-Knopf - für eine neue Fassung ist "Daten importieren" zuständig.</t>
  </si>
  <si>
    <t>Eine Zelle lässt sich nicht bearbeiten: das ist Absicht - berechnete Spalten und Ferienzeilen sind gesperrt.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</si>
</sst>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
    <numFmt numFmtId="165" formatCode="dd\.mm\.yyyy"/>
  </numFmts>
  <fonts count="32" x14ac:knownFonts="1">
    <font>
      <sz val="11"/>
      <color theme="1"/>
      <name val="Calibri"/>
      <family val="2"/>
      <charset val="1"/>
    </font>
    <font>
      <sz val="10"/>
      <name val="Arial"/>
      <family val="2"/>
    </font>
    <font>
      <b/>
      <sz val="10"/>
      <color rgb="FFFFFFFF"/>
      <name val="Arial"/>
      <family val="2"/>
    </font>
    <font>
      <sz val="10"/>
      <name val="Arial"/>
      <family val="2"/>
    </font>
    <font>
      <b/>
      <sz val="10"/>
      <name val="Arial"/>
      <family val="2"/>
    </font>
    <font>
      <i/>
      <sz val="9"/>
      <color rgb="FF555555"/>
      <name val="Arial"/>
      <family val="2"/>
    </font>
    <font>
      <b/>
      <sz val="16"/>
      <color rgb="FFFF0000"/>
      <name val="Bernard MT Condensed"/>
      <family val="1"/>
    </font>
    <font>
      <b/>
      <sz val="8"/>
      <color rgb="FFFFFFFF"/>
      <name val="Calibri"/>
      <family val="2"/>
      <scheme val="minor"/>
    </font>
    <font>
      <b/>
      <sz val="8"/>
      <color theme="9" tint="-0.499984740745262"/>
      <name val="Calibri"/>
      <family val="2"/>
      <scheme val="minor"/>
    </font>
    <font>
      <sz val="10"/>
      <color theme="1" tint="0.249977111117893"/>
      <name val="Arial"/>
      <family val="2"/>
    </font>
    <font>
      <b/>
      <sz val="10"/>
      <color theme="0" tint="-4.9989318521683403E-2"/>
      <name val="Arial"/>
      <family val="2"/>
    </font>
    <font>
      <b/>
      <sz val="11"/>
      <color theme="1"/>
      <name val="Calibri"/>
      <family val="2"/>
    </font>
    <font>
      <sz val="11"/>
      <color rgb="FF6E7A91"/>
      <name val="Calibri"/>
      <family val="2"/>
      <charset val="1"/>
    </font>
    <font>
      <b/>
      <sz val="20"/>
      <color rgb="FF2D3748"/>
      <name val="Calibri"/>
      <family val="2"/>
    </font>
    <font>
      <sz val="11"/>
      <color rgb="FF232D3C"/>
      <name val="Calibri"/>
      <family val="2"/>
      <charset val="1"/>
    </font>
    <font>
      <i/>
      <sz val="10.5"/>
      <color rgb="FF785514"/>
      <name val="Calibri"/>
      <family val="2"/>
    </font>
    <font>
      <b/>
      <sz val="13"/>
      <color rgb="FFFFFFFF"/>
      <name val="Calibri"/>
      <family val="2"/>
    </font>
    <font>
      <b/>
      <sz val="11"/>
      <color rgb="FF3C485C"/>
      <name val="Calibri"/>
      <family val="2"/>
    </font>
    <font>
      <sz val="11"/>
      <color theme="4" tint="-0.499984740745262"/>
      <name val="Calibri"/>
      <family val="2"/>
      <charset val="1"/>
    </font>
    <font>
      <sz val="10"/>
      <color theme="4" tint="-0.499984740745262"/>
      <name val="Arial"/>
      <family val="2"/>
    </font>
    <font>
      <b/>
      <sz val="10"/>
      <color theme="4" tint="-0.499984740745262"/>
      <name val="Arial"/>
      <family val="2"/>
    </font>
    <font>
      <b/>
      <sz val="11"/>
      <color rgb="FF6E7A91"/>
      <name val="Calibri"/>
      <family val="2"/>
    </font>
    <font>
      <b/>
      <sz val="12"/>
      <color rgb="FF4E697E"/>
      <name val="Calibri"/>
      <family val="2"/>
    </font>
    <font>
      <sz val="10"/>
      <color rgb="FF646E80"/>
      <name val="Calibri"/>
      <family val="2"/>
      <charset val="1"/>
    </font>
    <font>
      <sz val="9"/>
      <color rgb="FF646E80"/>
      <name val="Calibri"/>
      <family val="2"/>
      <charset val="1"/>
    </font>
    <font>
      <i/>
      <sz val="9"/>
      <color rgb="FF8C96A8"/>
      <name val="Calibri"/>
      <family val="2"/>
    </font>
    <font>
      <sz val="11"/>
      <color theme="1"/>
      <name val="Calibri"/>
      <family val="2"/>
    </font>
    <font>
      <b/>
      <sz val="10"/>
      <color rgb="FF16507E"/>
      <name val="Calibri"/>
      <family val="2"/>
    </font>
    <font>
      <i/>
      <sz val="9"/>
      <color rgb="FF6E7A91"/>
      <name val="Calibri"/>
      <family val="2"/>
    </font>
    <font>
      <b/>
      <sz val="14"/>
      <color rgb="FF16507E"/>
      <name val="Calibri"/>
      <family val="2"/>
    </font>
    <font>
      <b/>
      <sz val="9"/>
      <color rgb="FFBA4A4A"/>
      <name val="Calibri"/>
      <family val="2"/>
    </font>
    <font>
      <b/>
      <sz val="22"/>
      <color rgb="FF2D3748"/>
      <name val="Calibri"/>
      <family val="2"/>
    </font>
  </fonts>
  <fills count="9">
    <fill>
      <patternFill patternType="none"/>
    </fill>
    <fill>
      <patternFill patternType="gray125"/>
    </fill>
    <fill>
      <patternFill patternType="solid">
        <fgColor rgb="FF16507E"/>
        <bgColor rgb="FF003366"/>
      </patternFill>
    </fill>
    <fill>
      <patternFill patternType="solid">
        <fgColor theme="9" tint="-0.499984740745262"/>
        <bgColor rgb="FF003366"/>
      </patternFill>
    </fill>
    <fill>
      <patternFill patternType="solid">
        <fgColor rgb="FF5F8EB4"/>
        <bgColor rgb="FF003366"/>
      </patternFill>
    </fill>
    <fill>
      <patternFill patternType="solid">
        <fgColor rgb="FFE1E9EF"/>
        <bgColor indexed="64"/>
      </patternFill>
    </fill>
    <fill>
      <patternFill patternType="solid">
        <fgColor rgb="FFFDF6E3"/>
        <bgColor indexed="64"/>
      </patternFill>
    </fill>
    <fill>
      <patternFill patternType="solid">
        <fgColor rgb="FF4E697E"/>
        <bgColor indexed="64"/>
      </patternFill>
    </fill>
    <fill>
      <patternFill patternType="solid">
        <fgColor rgb="FFFFFFFF"/>
        <bgColor indexed="64"/>
      </patternFill>
    </fill>
  </fills>
  <borders count="14">
    <border>
      <left/>
      <right/>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bottom/>
      <diagonal/>
    </border>
    <border>
      <left style="dotted">
        <color rgb="FFFABD8A"/>
      </left>
      <right style="dotted">
        <color rgb="FFFABD8A"/>
      </right>
      <top style="dotted">
        <color rgb="FFFABD8A"/>
      </top>
      <bottom style="dotted">
        <color rgb="FFFABD8A"/>
      </bottom>
      <diagonal/>
    </border>
    <border>
      <left style="thin">
        <color rgb="FFBFBFBF"/>
      </left>
      <right/>
      <top style="thin">
        <color rgb="FFBFBFBF"/>
      </top>
      <bottom style="thin">
        <color rgb="FFBFBFBF"/>
      </bottom>
      <diagonal/>
    </border>
    <border>
      <left/>
      <right style="thin">
        <color rgb="FFBFBFBF"/>
      </right>
      <top/>
      <bottom/>
      <diagonal/>
    </border>
    <border>
      <left/>
      <right style="thin">
        <color rgb="FFBFBFBF"/>
      </right>
      <top style="thin">
        <color rgb="FFBFBFBF"/>
      </top>
      <bottom style="thin">
        <color rgb="FFBFBFBF"/>
      </bottom>
      <diagonal/>
    </border>
    <border>
      <left style="thin">
        <color rgb="FFB4BCC8"/>
      </left>
      <right style="thin">
        <color rgb="FFB4BCC8"/>
      </right>
      <top style="thin">
        <color rgb="FFB4BCC8"/>
      </top>
      <bottom style="thin">
        <color rgb="FFB4BCC8"/>
      </bottom>
      <diagonal/>
    </border>
    <border>
      <left style="thin">
        <color rgb="FFBFBFBF"/>
      </left>
      <right style="thin">
        <color rgb="FFBFBFBF"/>
      </right>
      <top style="thin">
        <color rgb="FFB4BCC8"/>
      </top>
      <bottom style="thin">
        <color rgb="FFBFBFBF"/>
      </bottom>
      <diagonal/>
    </border>
    <border>
      <left/>
      <right/>
      <top/>
      <bottom style="thin">
        <color rgb="FFC8D0DC"/>
      </bottom>
      <diagonal/>
    </border>
    <border>
      <left style="thin">
        <color rgb="FF5F8EB4"/>
      </left>
      <right style="thin">
        <color rgb="FF5F8EB4"/>
      </right>
      <top style="thin">
        <color rgb="FF5F8EB4"/>
      </top>
      <bottom style="thin">
        <color rgb="FF5F8EB4"/>
      </bottom>
      <diagonal/>
    </border>
    <border>
      <left style="medium">
        <color rgb="FF16507E"/>
      </left>
      <right/>
      <top style="medium">
        <color rgb="FF16507E"/>
      </top>
      <bottom style="medium">
        <color rgb="FF16507E"/>
      </bottom>
      <diagonal/>
    </border>
    <border>
      <left/>
      <right/>
      <top style="medium">
        <color rgb="FF16507E"/>
      </top>
      <bottom style="medium">
        <color rgb="FF16507E"/>
      </bottom>
      <diagonal/>
    </border>
    <border>
      <left/>
      <right style="medium">
        <color rgb="FF16507E"/>
      </right>
      <top style="medium">
        <color rgb="FF16507E"/>
      </top>
      <bottom style="medium">
        <color rgb="FF16507E"/>
      </bottom>
      <diagonal/>
    </border>
  </borders>
  <cellStyleXfs count="1">
    <xf numFmtId="0" fontId="0" fillId="0" borderId="0"/>
  </cellStyleXfs>
  <cellXfs count="73">
    <xf numFmtId="0" fontId="0" fillId="0" borderId="0" xfId="0"/>
    <xf numFmtId="0" fontId="3" fillId="0" borderId="6" xfId="0" applyFont="1" applyBorder="1" applyAlignment="1" applyProtection="1">
      <alignment horizontal="center" vertical="top" wrapText="1"/>
      <protection locked="0"/>
    </xf>
    <xf numFmtId="0" fontId="3" fillId="0" borderId="1" xfId="0" applyFont="1" applyBorder="1" applyAlignment="1" applyProtection="1">
      <alignment horizontal="center" vertical="top" wrapText="1"/>
      <protection locked="0"/>
    </xf>
    <xf numFmtId="0" fontId="3" fillId="0" borderId="1" xfId="0" applyFont="1" applyBorder="1" applyAlignment="1" applyProtection="1">
      <alignment vertical="top" wrapText="1"/>
      <protection locked="0"/>
    </xf>
    <xf numFmtId="0" fontId="1" fillId="0" borderId="1" xfId="0" applyFont="1" applyBorder="1" applyAlignment="1" applyProtection="1">
      <alignment vertical="top" wrapText="1"/>
      <protection locked="0"/>
    </xf>
    <xf numFmtId="0" fontId="3" fillId="0" borderId="1" xfId="0" applyFont="1" applyBorder="1" applyAlignment="1" applyProtection="1">
      <alignment horizontal="center" vertical="center" wrapText="1"/>
      <protection locked="0"/>
      <extLst>
        <ext xmlns:xfpb="http://schemas.microsoft.com/office/spreadsheetml/2022/featurepropertybag" uri="{C7286773-470A-42A8-94C5-96B5CB345126}">
          <xfpb:xfComplement i="0"/>
        </ext>
      </extLst>
    </xf>
    <xf numFmtId="0" fontId="3" fillId="0" borderId="1" xfId="0" applyFont="1" applyBorder="1" applyAlignment="1" applyProtection="1">
      <alignment horizontal="center" vertical="center" wrapText="1"/>
      <protection locked="0"/>
    </xf>
    <xf numFmtId="0" fontId="3" fillId="0" borderId="4" xfId="0" applyFont="1" applyBorder="1" applyAlignment="1" applyProtection="1">
      <alignment vertical="top" wrapText="1"/>
      <protection locked="0"/>
    </xf>
    <xf numFmtId="0" fontId="0" fillId="0" borderId="0" xfId="0" applyAlignment="1" applyProtection="1">
      <alignment horizontal="center"/>
      <protection locked="0"/>
    </xf>
    <xf numFmtId="0" fontId="0" fillId="0" borderId="7" xfId="0" applyBorder="1" applyProtection="1">
      <protection locked="0"/>
    </xf>
    <xf numFmtId="164" fontId="0" fillId="0" borderId="7" xfId="0" applyNumberFormat="1" applyBorder="1" applyAlignment="1" applyProtection="1">
      <alignment horizontal="right" indent="1"/>
      <protection locked="0"/>
    </xf>
    <xf numFmtId="0" fontId="0" fillId="0" borderId="7" xfId="0" applyBorder="1" applyProtection="1">
      <protection locked="0"/>
      <extLst>
        <ext xmlns:xfpb="http://schemas.microsoft.com/office/spreadsheetml/2022/featurepropertybag" uri="{C7286773-470A-42A8-94C5-96B5CB345126}">
          <xfpb:xfComplement i="0"/>
        </ext>
      </extLst>
    </xf>
    <xf numFmtId="0" fontId="0" fillId="0" borderId="0" xfId="0" applyProtection="1">
      <protection locked="0"/>
    </xf>
    <xf numFmtId="165" fontId="0" fillId="0" borderId="7" xfId="0" applyNumberFormat="1" applyBorder="1" applyProtection="1">
      <protection locked="0"/>
    </xf>
    <xf numFmtId="0" fontId="4" fillId="0" borderId="1" xfId="0" applyFont="1" applyBorder="1" applyAlignment="1" applyProtection="1">
      <alignment horizontal="center" vertical="top" wrapText="1"/>
      <protection locked="0"/>
    </xf>
    <xf numFmtId="0" fontId="4" fillId="0" borderId="1" xfId="0" applyFont="1" applyBorder="1" applyProtection="1">
      <protection locked="0"/>
    </xf>
    <xf numFmtId="0" fontId="4" fillId="0" borderId="0" xfId="0" applyFont="1" applyProtection="1">
      <protection locked="0"/>
    </xf>
    <xf numFmtId="0" fontId="5" fillId="0" borderId="0" xfId="0" applyFont="1" applyAlignment="1" applyProtection="1">
      <alignment vertical="top" wrapText="1"/>
      <protection locked="0"/>
    </xf>
    <xf numFmtId="0" fontId="18" fillId="0" borderId="7" xfId="0" applyFont="1" applyBorder="1" applyProtection="1">
      <protection locked="0"/>
    </xf>
    <xf numFmtId="0" fontId="0" fillId="8" borderId="7" xfId="0" applyFill="1" applyBorder="1" applyAlignment="1" applyProtection="1">
      <alignment horizontal="left" indent="2"/>
      <protection locked="0"/>
    </xf>
    <xf numFmtId="0" fontId="27" fillId="8" borderId="10" xfId="0" applyFont="1" applyFill="1" applyBorder="1" applyAlignment="1" applyProtection="1">
      <alignment horizontal="center" vertical="center"/>
      <protection locked="0"/>
    </xf>
    <xf numFmtId="0" fontId="19" fillId="0" borderId="1" xfId="0" applyFont="1" applyBorder="1" applyAlignment="1" applyProtection="1">
      <alignment horizontal="center" vertical="top" wrapText="1"/>
      <protection locked="0"/>
    </xf>
    <xf numFmtId="0" fontId="6" fillId="0" borderId="0" xfId="0" applyFont="1" applyAlignment="1" applyProtection="1">
      <alignment horizontal="center" vertical="top"/>
    </xf>
    <xf numFmtId="0" fontId="29" fillId="0" borderId="11" xfId="0" applyFont="1" applyFill="1" applyBorder="1" applyAlignment="1" applyProtection="1">
      <alignment horizontal="left" vertical="center" indent="1"/>
    </xf>
    <xf numFmtId="0" fontId="29" fillId="0" borderId="12" xfId="0" applyFont="1" applyFill="1" applyBorder="1" applyAlignment="1" applyProtection="1">
      <alignment horizontal="left" vertical="center" indent="1"/>
    </xf>
    <xf numFmtId="0" fontId="29" fillId="0" borderId="12" xfId="0" applyFont="1" applyFill="1" applyBorder="1" applyAlignment="1" applyProtection="1">
      <alignment horizontal="center" vertical="center"/>
    </xf>
    <xf numFmtId="0" fontId="29" fillId="0" borderId="13" xfId="0" applyFont="1" applyFill="1" applyBorder="1" applyAlignment="1" applyProtection="1">
      <alignment horizontal="right" vertical="center" indent="1"/>
    </xf>
    <xf numFmtId="0" fontId="0" fillId="0" borderId="0" xfId="0" applyProtection="1"/>
    <xf numFmtId="0" fontId="0" fillId="0" borderId="0" xfId="0" applyFill="1" applyBorder="1" applyProtection="1"/>
    <xf numFmtId="0" fontId="10" fillId="4" borderId="1" xfId="0" applyFont="1" applyFill="1" applyBorder="1" applyAlignment="1" applyProtection="1">
      <alignment horizontal="center" vertical="top" wrapText="1"/>
    </xf>
    <xf numFmtId="0" fontId="2" fillId="2" borderId="6" xfId="0" applyFont="1" applyFill="1" applyBorder="1" applyAlignment="1" applyProtection="1">
      <alignment horizontal="center" vertical="top" wrapText="1"/>
    </xf>
    <xf numFmtId="0" fontId="2" fillId="2" borderId="1" xfId="0" applyFont="1" applyFill="1" applyBorder="1" applyAlignment="1" applyProtection="1">
      <alignment horizontal="center" vertical="top" wrapText="1"/>
    </xf>
    <xf numFmtId="0" fontId="2" fillId="2" borderId="4" xfId="0" applyFont="1" applyFill="1" applyBorder="1" applyAlignment="1" applyProtection="1">
      <alignment horizontal="center" vertical="top" wrapText="1"/>
    </xf>
    <xf numFmtId="0" fontId="8" fillId="0" borderId="0" xfId="0" applyFont="1" applyAlignment="1" applyProtection="1">
      <alignment horizontal="center" vertical="center" wrapText="1"/>
    </xf>
    <xf numFmtId="0" fontId="7" fillId="3" borderId="5" xfId="0" applyFont="1" applyFill="1" applyBorder="1" applyAlignment="1" applyProtection="1">
      <alignment horizontal="center" vertical="top" wrapText="1"/>
    </xf>
    <xf numFmtId="0" fontId="7" fillId="3" borderId="2" xfId="0" applyFont="1" applyFill="1" applyBorder="1" applyAlignment="1" applyProtection="1">
      <alignment horizontal="center" vertical="top" wrapText="1"/>
    </xf>
    <xf numFmtId="0" fontId="9" fillId="0" borderId="1" xfId="0" applyFont="1" applyBorder="1" applyAlignment="1" applyProtection="1">
      <alignment horizontal="center" vertical="top" wrapText="1"/>
    </xf>
    <xf numFmtId="0" fontId="3" fillId="0" borderId="6" xfId="0" applyFont="1" applyBorder="1" applyAlignment="1" applyProtection="1">
      <alignment horizontal="center" vertical="top" wrapText="1"/>
    </xf>
    <xf numFmtId="0" fontId="3" fillId="0" borderId="1" xfId="0" applyFont="1" applyBorder="1" applyAlignment="1" applyProtection="1">
      <alignment horizontal="center" vertical="top" wrapText="1"/>
    </xf>
    <xf numFmtId="0" fontId="3" fillId="0" borderId="1" xfId="0" applyFont="1" applyBorder="1" applyAlignment="1" applyProtection="1">
      <alignment vertical="top" wrapText="1"/>
    </xf>
    <xf numFmtId="0" fontId="1" fillId="0" borderId="1" xfId="0" applyFont="1" applyBorder="1" applyAlignment="1" applyProtection="1">
      <alignment vertical="top" wrapText="1"/>
    </xf>
    <xf numFmtId="0" fontId="3" fillId="0" borderId="1" xfId="0" applyFont="1" applyBorder="1" applyAlignment="1" applyProtection="1">
      <alignment horizontal="center" vertical="center" wrapText="1"/>
      <extLst>
        <ext xmlns:xfpb="http://schemas.microsoft.com/office/spreadsheetml/2022/featurepropertybag" uri="{C7286773-470A-42A8-94C5-96B5CB345126}">
          <xfpb:xfComplement i="0"/>
        </ext>
      </extLst>
    </xf>
    <xf numFmtId="0" fontId="3" fillId="0" borderId="1" xfId="0" applyFont="1" applyBorder="1" applyAlignment="1" applyProtection="1">
      <alignment horizontal="center" vertical="center" wrapText="1"/>
    </xf>
    <xf numFmtId="0" fontId="3" fillId="0" borderId="4" xfId="0" applyFont="1" applyBorder="1" applyAlignment="1" applyProtection="1">
      <alignment horizontal="center" vertical="center" wrapText="1"/>
    </xf>
    <xf numFmtId="0" fontId="3" fillId="0" borderId="4" xfId="0" applyFont="1" applyBorder="1" applyAlignment="1" applyProtection="1">
      <alignment vertical="top" wrapText="1"/>
    </xf>
    <xf numFmtId="0" fontId="6" fillId="0" borderId="3" xfId="0" applyFont="1" applyBorder="1" applyAlignment="1" applyProtection="1">
      <alignment horizontal="center" vertical="center"/>
    </xf>
    <xf numFmtId="0" fontId="11" fillId="5" borderId="7" xfId="0" applyFont="1" applyFill="1" applyBorder="1" applyAlignment="1" applyProtection="1">
      <alignment horizontal="center" vertical="center" wrapText="1"/>
    </xf>
    <xf numFmtId="0" fontId="18" fillId="0" borderId="8" xfId="0" applyFont="1" applyBorder="1" applyAlignment="1" applyProtection="1">
      <alignment horizontal="left" indent="2"/>
    </xf>
    <xf numFmtId="0" fontId="18" fillId="0" borderId="1" xfId="0" applyFont="1" applyBorder="1" applyAlignment="1" applyProtection="1">
      <alignment horizontal="center"/>
    </xf>
    <xf numFmtId="0" fontId="11" fillId="0" borderId="0" xfId="0" applyFont="1" applyProtection="1"/>
    <xf numFmtId="0" fontId="0" fillId="0" borderId="0" xfId="0" applyAlignment="1" applyProtection="1">
      <alignment horizontal="center"/>
    </xf>
    <xf numFmtId="0" fontId="26" fillId="5" borderId="7" xfId="0" applyFont="1" applyFill="1" applyBorder="1" applyAlignment="1" applyProtection="1">
      <alignment horizontal="center" vertical="center" wrapText="1"/>
    </xf>
    <xf numFmtId="0" fontId="11" fillId="5" borderId="0" xfId="0" applyFont="1" applyFill="1" applyProtection="1"/>
    <xf numFmtId="0" fontId="10" fillId="4" borderId="1" xfId="0" applyFont="1" applyFill="1" applyBorder="1" applyAlignment="1" applyProtection="1">
      <alignment horizontal="center" vertical="center" wrapText="1"/>
    </xf>
    <xf numFmtId="0" fontId="18" fillId="0" borderId="7" xfId="0" applyFont="1" applyBorder="1" applyProtection="1"/>
    <xf numFmtId="0" fontId="20" fillId="0" borderId="1" xfId="0" applyFont="1" applyBorder="1" applyProtection="1"/>
    <xf numFmtId="0" fontId="13" fillId="0" borderId="0" xfId="0" applyFont="1" applyProtection="1"/>
    <xf numFmtId="0" fontId="12" fillId="0" borderId="0" xfId="0" applyFont="1" applyProtection="1"/>
    <xf numFmtId="0" fontId="21" fillId="0" borderId="0" xfId="0" applyFont="1" applyProtection="1"/>
    <xf numFmtId="0" fontId="22" fillId="0" borderId="9" xfId="0" applyFont="1" applyBorder="1" applyProtection="1"/>
    <xf numFmtId="0" fontId="0" fillId="0" borderId="9" xfId="0" applyBorder="1" applyProtection="1"/>
    <xf numFmtId="0" fontId="23" fillId="0" borderId="0" xfId="0" applyFont="1" applyAlignment="1" applyProtection="1">
      <alignment horizontal="left" vertical="top" wrapText="1" indent="1"/>
    </xf>
    <xf numFmtId="0" fontId="28" fillId="0" borderId="0" xfId="0" applyFont="1" applyAlignment="1" applyProtection="1">
      <alignment horizontal="left" vertical="center" indent="1"/>
    </xf>
    <xf numFmtId="0" fontId="24" fillId="0" borderId="0" xfId="0" applyFont="1" applyAlignment="1" applyProtection="1">
      <alignment horizontal="left" vertical="top" wrapText="1" indent="1"/>
    </xf>
    <xf numFmtId="0" fontId="30" fillId="0" borderId="0" xfId="0" applyFont="1" applyAlignment="1" applyProtection="1">
      <alignment horizontal="left" vertical="top" wrapText="1" indent="1"/>
    </xf>
    <xf numFmtId="0" fontId="25" fillId="0" borderId="0" xfId="0" applyFont="1" applyAlignment="1" applyProtection="1">
      <alignment horizontal="left" vertical="top" wrapText="1" indent="1"/>
    </xf>
    <xf numFmtId="0" fontId="31" fillId="0" borderId="0" xfId="0" applyFont="1" applyProtection="1"/>
    <xf numFmtId="0" fontId="14" fillId="0" borderId="0" xfId="0" applyFont="1" applyAlignment="1" applyProtection="1">
      <alignment horizontal="left" vertical="top" wrapText="1" indent="1"/>
    </xf>
    <xf numFmtId="0" fontId="15" fillId="6" borderId="0" xfId="0" applyFont="1" applyFill="1" applyAlignment="1" applyProtection="1">
      <alignment horizontal="left" vertical="center" wrapText="1" indent="1"/>
    </xf>
    <xf numFmtId="0" fontId="16" fillId="7" borderId="0" xfId="0" applyFont="1" applyFill="1" applyAlignment="1" applyProtection="1">
      <alignment horizontal="left" vertical="center" indent="1"/>
    </xf>
    <xf numFmtId="0" fontId="14" fillId="0" borderId="0" xfId="0" applyFont="1" applyAlignment="1" applyProtection="1">
      <alignment horizontal="left" vertical="top" wrapText="1" indent="2"/>
    </xf>
    <xf numFmtId="0" fontId="15" fillId="6" borderId="0" xfId="0" quotePrefix="1" applyFont="1" applyFill="1" applyAlignment="1" applyProtection="1">
      <alignment horizontal="left" vertical="center" wrapText="1" indent="1"/>
    </xf>
    <xf numFmtId="0" fontId="17" fillId="0" borderId="0" xfId="0" applyFont="1" applyProtection="1"/>
  </cellXfs>
  <cellStyles count="1">
    <cellStyle name="Standard" xfId="0" builtinId="0"/>
  </cellStyles>
  <dxfs count="8">
    <dxf>
      <font>
        <b/>
        <i/>
        <u val="none"/>
        <color rgb="FF4B537D"/>
      </font>
    </dxf>
    <dxf>
      <font>
        <b/>
        <i/>
        <color rgb="FFB58307"/>
      </font>
    </dxf>
    <dxf>
      <font>
        <b val="0"/>
        <i/>
      </font>
      <fill>
        <patternFill>
          <bgColor rgb="FFEFE4D5"/>
        </patternFill>
      </fill>
    </dxf>
    <dxf>
      <fill>
        <patternFill>
          <bgColor rgb="FFD9D2E9"/>
        </patternFill>
      </fill>
    </dxf>
    <dxf>
      <font>
        <b/>
        <i val="0"/>
        <color theme="0"/>
      </font>
      <fill>
        <patternFill>
          <bgColor theme="5" tint="-0.499984740745262"/>
        </patternFill>
      </fill>
    </dxf>
    <dxf>
      <fill>
        <patternFill>
          <bgColor rgb="FFCACFFA"/>
        </patternFill>
      </fill>
    </dxf>
    <dxf>
      <fill>
        <patternFill>
          <bgColor rgb="FFC4E3F2"/>
        </patternFill>
      </fill>
    </dxf>
    <dxf>
      <font>
        <strike val="0"/>
        <u/>
        <color theme="1" tint="0.34998626667073579"/>
      </font>
      <fill>
        <patternFill>
          <bgColor theme="6" tint="0.59996337778862885"/>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CE4D6"/>
      <rgbColor rgb="FFDDEBF7"/>
      <rgbColor rgb="FF660066"/>
      <rgbColor rgb="FFFF8080"/>
      <rgbColor rgb="FF0066CC"/>
      <rgbColor rgb="FFD9D2E9"/>
      <rgbColor rgb="FF000080"/>
      <rgbColor rgb="FFFF00FF"/>
      <rgbColor rgb="FFFFFF00"/>
      <rgbColor rgb="FF00FFFF"/>
      <rgbColor rgb="FF800080"/>
      <rgbColor rgb="FF800000"/>
      <rgbColor rgb="FF008080"/>
      <rgbColor rgb="FF0000FF"/>
      <rgbColor rgb="FF00CCFF"/>
      <rgbColor rgb="FFEAF1F8"/>
      <rgbColor rgb="FFC6E0B4"/>
      <rgbColor rgb="FFFFFF99"/>
      <rgbColor rgb="FFBDD7EE"/>
      <rgbColor rgb="FFFF99CC"/>
      <rgbColor rgb="FFCC99FF"/>
      <rgbColor rgb="FFF8CBAD"/>
      <rgbColor rgb="FF3366FF"/>
      <rgbColor rgb="FF33CCCC"/>
      <rgbColor rgb="FF99CC00"/>
      <rgbColor rgb="FFFFCC00"/>
      <rgbColor rgb="FFFF9900"/>
      <rgbColor rgb="FFFF6600"/>
      <rgbColor rgb="FF555555"/>
      <rgbColor rgb="FF969696"/>
      <rgbColor rgb="FF003366"/>
      <rgbColor rgb="FF339966"/>
      <rgbColor rgb="FF003300"/>
      <rgbColor rgb="FF333300"/>
      <rgbColor rgb="FF993300"/>
      <rgbColor rgb="FF993366"/>
      <rgbColor rgb="FF16507E"/>
      <rgbColor rgb="FF333333"/>
      <rgbColor rgb="00003366"/>
      <rgbColor rgb="00339966"/>
      <rgbColor rgb="00003300"/>
      <rgbColor rgb="00333300"/>
      <rgbColor rgb="00993300"/>
      <rgbColor rgb="00993366"/>
      <rgbColor rgb="00333399"/>
      <rgbColor rgb="00333333"/>
    </indexedColors>
    <mruColors>
      <color rgb="FFE5DBE1"/>
      <color rgb="FFF6EFE6"/>
      <color rgb="FFCEBAC7"/>
      <color rgb="FFEFE4D5"/>
      <color rgb="FFC4E3F2"/>
      <color rgb="FF82A5F2"/>
      <color rgb="FF687398"/>
      <color rgb="FF9E79E1"/>
      <color rgb="FF2C1458"/>
      <color rgb="FF2B2F4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7</xdr:row>
      <xdr:rowOff>25400</xdr:rowOff>
    </xdr:from>
    <xdr:to>
      <xdr:col>1</xdr:col>
      <xdr:colOff>2130425</xdr:colOff>
      <xdr:row>7</xdr:row>
      <xdr:rowOff>609600</xdr:rowOff>
    </xdr:to>
    <xdr:sp macro="modKalender.UW_Und_Ferien_Generieren" textlink="">
      <xdr:nvSpPr>
        <xdr:cNvPr id="2" name="stBtn_8" descr="Wochenplan neu aufbauen">
          <a:extLst>
            <a:ext uri="{FF2B5EF4-FFF2-40B4-BE49-F238E27FC236}">
              <a16:creationId xmlns:a16="http://schemas.microsoft.com/office/drawing/2014/main" id="{9DD03973-6A96-5C6A-FCBD-CC12E26E8758}"/>
            </a:ext>
          </a:extLst>
        </xdr:cNvPr>
        <xdr:cNvSpPr/>
      </xdr:nvSpPr>
      <xdr:spPr>
        <a:xfrm>
          <a:off x="273050" y="1835150"/>
          <a:ext cx="2105025" cy="584200"/>
        </a:xfrm>
        <a:prstGeom prst="roundRect">
          <a:avLst/>
        </a:prstGeom>
        <a:solidFill>
          <a:srgbClr val="DBEDDE"/>
        </a:solidFill>
        <a:ln w="15875">
          <a:solidFill>
            <a:srgbClr val="5D8F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150" b="1">
              <a:solidFill>
                <a:srgbClr val="2D3748"/>
              </a:solidFill>
            </a:rPr>
            <a:t>Wochenplan neu aufbauen</a:t>
          </a:r>
        </a:p>
      </xdr:txBody>
    </xdr:sp>
    <xdr:clientData/>
  </xdr:twoCellAnchor>
  <xdr:twoCellAnchor editAs="oneCell">
    <xdr:from>
      <xdr:col>1</xdr:col>
      <xdr:colOff>25400</xdr:colOff>
      <xdr:row>9</xdr:row>
      <xdr:rowOff>25400</xdr:rowOff>
    </xdr:from>
    <xdr:to>
      <xdr:col>1</xdr:col>
      <xdr:colOff>2130425</xdr:colOff>
      <xdr:row>9</xdr:row>
      <xdr:rowOff>609600</xdr:rowOff>
    </xdr:to>
    <xdr:sp macro="modSteuerung.Plan_Fixieren" textlink="">
      <xdr:nvSpPr>
        <xdr:cNvPr id="3" name="stBtn_10" descr="Stoffverteilungsplan fixieren">
          <a:extLst>
            <a:ext uri="{FF2B5EF4-FFF2-40B4-BE49-F238E27FC236}">
              <a16:creationId xmlns:a16="http://schemas.microsoft.com/office/drawing/2014/main" id="{85FD6121-CB6D-0D2C-D8EF-7B4C3540720B}"/>
            </a:ext>
          </a:extLst>
        </xdr:cNvPr>
        <xdr:cNvSpPr/>
      </xdr:nvSpPr>
      <xdr:spPr>
        <a:xfrm>
          <a:off x="273050" y="3597275"/>
          <a:ext cx="2105025" cy="584200"/>
        </a:xfrm>
        <a:prstGeom prst="roundRect">
          <a:avLst/>
        </a:prstGeom>
        <a:solidFill>
          <a:srgbClr val="FCF0D6"/>
        </a:solidFill>
        <a:ln w="15875">
          <a:solidFill>
            <a:srgbClr val="BF942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150" b="1">
              <a:solidFill>
                <a:srgbClr val="48505D"/>
              </a:solidFill>
            </a:rPr>
            <a:t>Stoffverteilungsplan fixieren</a:t>
          </a:r>
        </a:p>
      </xdr:txBody>
    </xdr:sp>
    <xdr:clientData/>
  </xdr:twoCellAnchor>
  <xdr:twoCellAnchor editAs="oneCell">
    <xdr:from>
      <xdr:col>1</xdr:col>
      <xdr:colOff>25400</xdr:colOff>
      <xdr:row>11</xdr:row>
      <xdr:rowOff>25400</xdr:rowOff>
    </xdr:from>
    <xdr:to>
      <xdr:col>1</xdr:col>
      <xdr:colOff>2130425</xdr:colOff>
      <xdr:row>11</xdr:row>
      <xdr:rowOff>609600</xdr:rowOff>
    </xdr:to>
    <xdr:sp macro="modSteuerung.Fixierung_Aufheben" textlink="">
      <xdr:nvSpPr>
        <xdr:cNvPr id="4" name="stBtn_12" descr="Fixierung aufheben">
          <a:extLst>
            <a:ext uri="{FF2B5EF4-FFF2-40B4-BE49-F238E27FC236}">
              <a16:creationId xmlns:a16="http://schemas.microsoft.com/office/drawing/2014/main" id="{3502013C-6B27-35F3-5F3C-8FDF151D78A5}"/>
            </a:ext>
          </a:extLst>
        </xdr:cNvPr>
        <xdr:cNvSpPr/>
      </xdr:nvSpPr>
      <xdr:spPr>
        <a:xfrm>
          <a:off x="273050" y="4673600"/>
          <a:ext cx="2105025" cy="584200"/>
        </a:xfrm>
        <a:prstGeom prst="roundRect">
          <a:avLst/>
        </a:prstGeom>
        <a:solidFill>
          <a:srgbClr val="F0F2F5"/>
        </a:solidFill>
        <a:ln w="15875">
          <a:solidFill>
            <a:srgbClr val="CDD2D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150" b="1">
              <a:solidFill>
                <a:srgbClr val="A8B0BC"/>
              </a:solidFill>
            </a:rPr>
            <a:t>Fixierung aufheben</a:t>
          </a:r>
        </a:p>
      </xdr:txBody>
    </xdr:sp>
    <xdr:clientData/>
  </xdr:twoCellAnchor>
  <xdr:twoCellAnchor editAs="oneCell">
    <xdr:from>
      <xdr:col>1</xdr:col>
      <xdr:colOff>25400</xdr:colOff>
      <xdr:row>13</xdr:row>
      <xdr:rowOff>25400</xdr:rowOff>
    </xdr:from>
    <xdr:to>
      <xdr:col>1</xdr:col>
      <xdr:colOff>2130425</xdr:colOff>
      <xdr:row>13</xdr:row>
      <xdr:rowOff>609600</xdr:rowOff>
    </xdr:to>
    <xdr:sp macro="modKopf.PDF_Export" textlink="">
      <xdr:nvSpPr>
        <xdr:cNvPr id="5" name="stBtn_14" descr="Als PDF exportieren">
          <a:extLst>
            <a:ext uri="{FF2B5EF4-FFF2-40B4-BE49-F238E27FC236}">
              <a16:creationId xmlns:a16="http://schemas.microsoft.com/office/drawing/2014/main" id="{95FD6B20-0B0F-FA45-2D27-E0296F9E75AD}"/>
            </a:ext>
          </a:extLst>
        </xdr:cNvPr>
        <xdr:cNvSpPr/>
      </xdr:nvSpPr>
      <xdr:spPr>
        <a:xfrm>
          <a:off x="273050" y="5454650"/>
          <a:ext cx="2105025" cy="584200"/>
        </a:xfrm>
        <a:prstGeom prst="roundRect">
          <a:avLst/>
        </a:prstGeom>
        <a:solidFill>
          <a:srgbClr val="DBE5F5"/>
        </a:solidFill>
        <a:ln w="15875">
          <a:solidFill>
            <a:srgbClr val="5476B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150" b="1">
              <a:solidFill>
                <a:srgbClr val="2D3748"/>
              </a:solidFill>
            </a:rPr>
            <a:t>Als PDF exportieren</a:t>
          </a:r>
        </a:p>
      </xdr:txBody>
    </xdr:sp>
    <xdr:clientData/>
  </xdr:twoCellAnchor>
  <xdr:twoCellAnchor editAs="oneCell">
    <xdr:from>
      <xdr:col>1</xdr:col>
      <xdr:colOff>25400</xdr:colOff>
      <xdr:row>19</xdr:row>
      <xdr:rowOff>25400</xdr:rowOff>
    </xdr:from>
    <xdr:to>
      <xdr:col>1</xdr:col>
      <xdr:colOff>2130425</xdr:colOff>
      <xdr:row>19</xdr:row>
      <xdr:rowOff>609600</xdr:rowOff>
    </xdr:to>
    <xdr:sp macro="modUebernahme.Daten_Uebernehmen" textlink="">
      <xdr:nvSpPr>
        <xdr:cNvPr id="6" name="stBtn_20" descr="Daten importieren">
          <a:extLst>
            <a:ext uri="{FF2B5EF4-FFF2-40B4-BE49-F238E27FC236}">
              <a16:creationId xmlns:a16="http://schemas.microsoft.com/office/drawing/2014/main" id="{60741E7E-5994-D191-A2F4-D68DA02FA81B}"/>
            </a:ext>
          </a:extLst>
        </xdr:cNvPr>
        <xdr:cNvSpPr/>
      </xdr:nvSpPr>
      <xdr:spPr>
        <a:xfrm>
          <a:off x="273050" y="7559675"/>
          <a:ext cx="2105025" cy="584200"/>
        </a:xfrm>
        <a:prstGeom prst="roundRect">
          <a:avLst/>
        </a:prstGeom>
        <a:solidFill>
          <a:srgbClr val="E0EAF0"/>
        </a:solidFill>
        <a:ln w="15875">
          <a:solidFill>
            <a:srgbClr val="5A849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150" b="1">
              <a:solidFill>
                <a:srgbClr val="2D3748"/>
              </a:solidFill>
            </a:rPr>
            <a:t>Daten importieren</a:t>
          </a:r>
        </a:p>
      </xdr:txBody>
    </xdr:sp>
    <xdr:clientData/>
  </xdr:twoCellAnchor>
  <xdr:twoCellAnchor editAs="oneCell">
    <xdr:from>
      <xdr:col>1</xdr:col>
      <xdr:colOff>25400</xdr:colOff>
      <xdr:row>23</xdr:row>
      <xdr:rowOff>25400</xdr:rowOff>
    </xdr:from>
    <xdr:to>
      <xdr:col>1</xdr:col>
      <xdr:colOff>2130425</xdr:colOff>
      <xdr:row>23</xdr:row>
      <xdr:rowOff>355600</xdr:rowOff>
    </xdr:to>
    <xdr:sp macro="modSteuerung.Einrichtung_Reparatur" textlink="">
      <xdr:nvSpPr>
        <xdr:cNvPr id="7" name="stBtn_24" descr="Einrichtung / Reparatur">
          <a:extLst>
            <a:ext uri="{FF2B5EF4-FFF2-40B4-BE49-F238E27FC236}">
              <a16:creationId xmlns:a16="http://schemas.microsoft.com/office/drawing/2014/main" id="{BF212DF7-524F-2C86-90A9-FE0DCE88463E}"/>
            </a:ext>
          </a:extLst>
        </xdr:cNvPr>
        <xdr:cNvSpPr/>
      </xdr:nvSpPr>
      <xdr:spPr>
        <a:xfrm>
          <a:off x="273050" y="9436100"/>
          <a:ext cx="2105025" cy="330200"/>
        </a:xfrm>
        <a:prstGeom prst="roundRect">
          <a:avLst/>
        </a:prstGeom>
        <a:solidFill>
          <a:srgbClr val="E8ECF2"/>
        </a:solidFill>
        <a:ln w="9525">
          <a:solidFill>
            <a:srgbClr val="96A0B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000" b="1">
              <a:solidFill>
                <a:srgbClr val="2D3748"/>
              </a:solidFill>
            </a:rPr>
            <a:t>Einrichtung / Reparatur</a:t>
          </a:r>
        </a:p>
      </xdr:txBody>
    </xdr:sp>
    <xdr:clientData/>
  </xdr:twoCellAnchor>
  <xdr:twoCellAnchor editAs="oneCell">
    <xdr:from>
      <xdr:col>1</xdr:col>
      <xdr:colOff>25400</xdr:colOff>
      <xdr:row>25</xdr:row>
      <xdr:rowOff>25400</xdr:rowOff>
    </xdr:from>
    <xdr:to>
      <xdr:col>1</xdr:col>
      <xdr:colOff>2130425</xdr:colOff>
      <xdr:row>25</xdr:row>
      <xdr:rowOff>355600</xdr:rowOff>
    </xdr:to>
    <xdr:sp macro="modSchutz.Blattschutz_Umschalten" textlink="">
      <xdr:nvSpPr>
        <xdr:cNvPr id="15" name="stBtn_26" descr="⚠ Blattschutz ein / aus">
          <a:extLst>
            <a:ext uri="{FF2B5EF4-FFF2-40B4-BE49-F238E27FC236}">
              <a16:creationId xmlns:a16="http://schemas.microsoft.com/office/drawing/2014/main" id="{63C5A05B-B3F1-D607-6232-1ACFEF3EE462}"/>
            </a:ext>
          </a:extLst>
        </xdr:cNvPr>
        <xdr:cNvSpPr/>
      </xdr:nvSpPr>
      <xdr:spPr>
        <a:xfrm>
          <a:off x="273050" y="10426700"/>
          <a:ext cx="2105025" cy="330200"/>
        </a:xfrm>
        <a:prstGeom prst="roundRect">
          <a:avLst/>
        </a:prstGeom>
        <a:solidFill>
          <a:srgbClr val="FAE2E2"/>
        </a:solidFill>
        <a:ln w="9525">
          <a:solidFill>
            <a:srgbClr val="BA4A4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000" b="1">
              <a:solidFill>
                <a:srgbClr val="2D3748"/>
              </a:solidFill>
            </a:rPr>
            <a:t>⚠ Blattschutz ein / aus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127000</xdr:colOff>
      <xdr:row>0</xdr:row>
      <xdr:rowOff>50800</xdr:rowOff>
    </xdr:from>
    <xdr:to>
      <xdr:col>5</xdr:col>
      <xdr:colOff>111760</xdr:colOff>
      <xdr:row>0</xdr:row>
      <xdr:rowOff>381000</xdr:rowOff>
    </xdr:to>
    <xdr:pic>
      <xdr:nvPicPr>
        <xdr:cNvPr id="7" name="wpKopfLogo_1">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cstate="print"/>
        <a:stretch>
          <a:fillRect/>
        </a:stretch>
      </xdr:blipFill>
      <xdr:spPr>
        <a:xfrm>
          <a:off x="346075" y="50800"/>
          <a:ext cx="2947035" cy="330200"/>
        </a:xfrm>
        <a:prstGeom prst="rect">
          <a:avLst/>
        </a:prstGeom>
      </xdr:spPr>
    </xdr:pic>
    <xdr:clientData/>
  </xdr:twoCellAnchor>
  <xdr:twoCellAnchor editAs="absolute">
    <xdr:from>
      <xdr:col>1</xdr:col>
      <xdr:colOff>50800</xdr:colOff>
      <xdr:row>0</xdr:row>
      <xdr:rowOff>50800</xdr:rowOff>
    </xdr:from>
    <xdr:to>
      <xdr:col>5</xdr:col>
      <xdr:colOff>287337</xdr:colOff>
      <xdr:row>0</xdr:row>
      <xdr:rowOff>381000</xdr:rowOff>
    </xdr:to>
    <xdr:pic>
      <xdr:nvPicPr>
        <xdr:cNvPr id="8" name="wpKopfLogo_2" hidden="1">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cstate="print"/>
        <a:stretch>
          <a:fillRect/>
        </a:stretch>
      </xdr:blipFill>
      <xdr:spPr>
        <a:xfrm>
          <a:off x="0" y="0"/>
          <a:ext cx="3198812" cy="330200"/>
        </a:xfrm>
        <a:prstGeom prst="rect">
          <a:avLst/>
        </a:prstGeom>
      </xdr:spPr>
    </xdr:pic>
    <xdr:clientData/>
  </xdr:twoCellAnchor>
  <xdr:twoCellAnchor editAs="absolute">
    <xdr:from>
      <xdr:col>0</xdr:col>
      <xdr:colOff>26988</xdr:colOff>
      <xdr:row>9</xdr:row>
      <xdr:rowOff>19051</xdr:rowOff>
    </xdr:from>
    <xdr:to>
      <xdr:col>0</xdr:col>
      <xdr:colOff>192088</xdr:colOff>
      <xdr:row>9</xdr:row>
      <xdr:rowOff>142876</xdr:rowOff>
    </xdr:to>
    <xdr:sp macro="wpBtnUp_Click" textlink="">
      <xdr:nvSpPr>
        <xdr:cNvPr id="4" name="wpBtnUp" descr="4:4" hidden="1">
          <a:extLst>
            <a:ext uri="{FF2B5EF4-FFF2-40B4-BE49-F238E27FC236}">
              <a16:creationId xmlns:a16="http://schemas.microsoft.com/office/drawing/2014/main" id="{125C0F71-6710-1842-D0F0-41D4FED9BF7A}"/>
            </a:ext>
          </a:extLst>
        </xdr:cNvPr>
        <xdr:cNvSpPr>
          <a:spLocks/>
        </xdr:cNvSpPr>
      </xdr:nvSpPr>
      <xdr:spPr>
        <a:xfrm>
          <a:off x="26988" y="4162426"/>
          <a:ext cx="165100" cy="123825"/>
        </a:xfrm>
        <a:prstGeom prst="triangle">
          <a:avLst/>
        </a:prstGeom>
        <a:solidFill>
          <a:srgbClr val="E2E8F0"/>
        </a:solidFill>
        <a:ln w="9525">
          <a:solidFill>
            <a:srgbClr val="6E7A9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0</xdr:col>
      <xdr:colOff>26988</xdr:colOff>
      <xdr:row>9</xdr:row>
      <xdr:rowOff>431006</xdr:rowOff>
    </xdr:from>
    <xdr:to>
      <xdr:col>0</xdr:col>
      <xdr:colOff>192088</xdr:colOff>
      <xdr:row>9</xdr:row>
      <xdr:rowOff>554831</xdr:rowOff>
    </xdr:to>
    <xdr:sp macro="wpBtnDown_Click" textlink="">
      <xdr:nvSpPr>
        <xdr:cNvPr id="6" name="wpBtnDown" descr="4:4" hidden="1">
          <a:extLst>
            <a:ext uri="{FF2B5EF4-FFF2-40B4-BE49-F238E27FC236}">
              <a16:creationId xmlns:a16="http://schemas.microsoft.com/office/drawing/2014/main" id="{FB268F80-B6B9-8DC3-E901-5DE87EAA280F}"/>
            </a:ext>
          </a:extLst>
        </xdr:cNvPr>
        <xdr:cNvSpPr>
          <a:spLocks/>
        </xdr:cNvSpPr>
      </xdr:nvSpPr>
      <xdr:spPr>
        <a:xfrm rot="10800000">
          <a:off x="26988" y="4574381"/>
          <a:ext cx="165100" cy="123825"/>
        </a:xfrm>
        <a:prstGeom prst="triangle">
          <a:avLst/>
        </a:prstGeom>
        <a:solidFill>
          <a:srgbClr val="E2E8F0"/>
        </a:solidFill>
        <a:ln w="9525">
          <a:solidFill>
            <a:srgbClr val="6E7A9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0</xdr:col>
      <xdr:colOff>26988</xdr:colOff>
      <xdr:row>3</xdr:row>
      <xdr:rowOff>119063</xdr:rowOff>
    </xdr:from>
    <xdr:to>
      <xdr:col>0</xdr:col>
      <xdr:colOff>192088</xdr:colOff>
      <xdr:row>3</xdr:row>
      <xdr:rowOff>284163</xdr:rowOff>
    </xdr:to>
    <xdr:sp macro="wpBtnAdd_Click" textlink="">
      <xdr:nvSpPr>
        <xdr:cNvPr id="5" name="wpBtnAdd" descr="4:4" hidden="1">
          <a:extLst>
            <a:ext uri="{FF2B5EF4-FFF2-40B4-BE49-F238E27FC236}">
              <a16:creationId xmlns:a16="http://schemas.microsoft.com/office/drawing/2014/main" id="{4C182C7E-C89D-F37E-67A7-3C2F1FF221EE}"/>
            </a:ext>
          </a:extLst>
        </xdr:cNvPr>
        <xdr:cNvSpPr>
          <a:spLocks/>
        </xdr:cNvSpPr>
      </xdr:nvSpPr>
      <xdr:spPr>
        <a:xfrm>
          <a:off x="26988" y="1109663"/>
          <a:ext cx="165100" cy="165100"/>
        </a:xfrm>
        <a:prstGeom prst="mathDivide">
          <a:avLst/>
        </a:prstGeom>
        <a:solidFill>
          <a:srgbClr val="E2E8F0"/>
        </a:solidFill>
        <a:ln w="9525">
          <a:solidFill>
            <a:srgbClr val="6E7A9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0</xdr:col>
      <xdr:colOff>26988</xdr:colOff>
      <xdr:row>3</xdr:row>
      <xdr:rowOff>296863</xdr:rowOff>
    </xdr:from>
    <xdr:to>
      <xdr:col>0</xdr:col>
      <xdr:colOff>192088</xdr:colOff>
      <xdr:row>3</xdr:row>
      <xdr:rowOff>461963</xdr:rowOff>
    </xdr:to>
    <xdr:sp macro="wpBtnDel_Click" textlink="">
      <xdr:nvSpPr>
        <xdr:cNvPr id="2" name="wpBtnDel" descr="4:4" hidden="1">
          <a:extLst>
            <a:ext uri="{FF2B5EF4-FFF2-40B4-BE49-F238E27FC236}">
              <a16:creationId xmlns:a16="http://schemas.microsoft.com/office/drawing/2014/main" id="{377E9B09-07F5-3A8F-4BCA-BBA8A37CE960}"/>
            </a:ext>
          </a:extLst>
        </xdr:cNvPr>
        <xdr:cNvSpPr>
          <a:spLocks/>
        </xdr:cNvSpPr>
      </xdr:nvSpPr>
      <xdr:spPr>
        <a:xfrm>
          <a:off x="26988" y="1287463"/>
          <a:ext cx="165100" cy="165100"/>
        </a:xfrm>
        <a:prstGeom prst="mathMinus">
          <a:avLst/>
        </a:prstGeom>
        <a:solidFill>
          <a:srgbClr val="F7DFDF"/>
        </a:solidFill>
        <a:ln w="9525">
          <a:solidFill>
            <a:srgbClr val="A86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127000</xdr:colOff>
      <xdr:row>0</xdr:row>
      <xdr:rowOff>50800</xdr:rowOff>
    </xdr:from>
    <xdr:to>
      <xdr:col>2</xdr:col>
      <xdr:colOff>740410</xdr:colOff>
      <xdr:row>0</xdr:row>
      <xdr:rowOff>381000</xdr:rowOff>
    </xdr:to>
    <xdr:pic>
      <xdr:nvPicPr>
        <xdr:cNvPr id="2" name="wpKopfLogo_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stretch>
          <a:fillRect/>
        </a:stretch>
      </xdr:blipFill>
      <xdr:spPr>
        <a:xfrm>
          <a:off x="127000" y="50800"/>
          <a:ext cx="2947035" cy="330200"/>
        </a:xfrm>
        <a:prstGeom prst="rect">
          <a:avLst/>
        </a:prstGeom>
      </xdr:spPr>
    </xdr:pic>
    <xdr:clientData/>
  </xdr:twoCellAnchor>
  <xdr:twoCellAnchor editAs="absolute">
    <xdr:from>
      <xdr:col>0</xdr:col>
      <xdr:colOff>50800</xdr:colOff>
      <xdr:row>0</xdr:row>
      <xdr:rowOff>50800</xdr:rowOff>
    </xdr:from>
    <xdr:to>
      <xdr:col>2</xdr:col>
      <xdr:colOff>915987</xdr:colOff>
      <xdr:row>0</xdr:row>
      <xdr:rowOff>381000</xdr:rowOff>
    </xdr:to>
    <xdr:pic>
      <xdr:nvPicPr>
        <xdr:cNvPr id="3" name="wpKopfLogo_2" hidden="1">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cstate="print"/>
        <a:stretch>
          <a:fillRect/>
        </a:stretch>
      </xdr:blipFill>
      <xdr:spPr>
        <a:xfrm>
          <a:off x="0" y="0"/>
          <a:ext cx="3198812" cy="3302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12700</xdr:colOff>
      <xdr:row>12</xdr:row>
      <xdr:rowOff>12700</xdr:rowOff>
    </xdr:from>
    <xdr:to>
      <xdr:col>10</xdr:col>
      <xdr:colOff>1635125</xdr:colOff>
      <xdr:row>12</xdr:row>
      <xdr:rowOff>263525</xdr:rowOff>
    </xdr:to>
    <xdr:sp macro="modKalender.Ferien_Aus_Kalender_Vorschlagen" textlink="">
      <xdr:nvSpPr>
        <xdr:cNvPr id="2" name="esBtnFerien" descr="Ferien aus Kalender vorschlagen">
          <a:extLst>
            <a:ext uri="{FF2B5EF4-FFF2-40B4-BE49-F238E27FC236}">
              <a16:creationId xmlns:a16="http://schemas.microsoft.com/office/drawing/2014/main" id="{53563DC9-498E-4EE1-ED2F-26215CE9FFDF}"/>
            </a:ext>
          </a:extLst>
        </xdr:cNvPr>
        <xdr:cNvSpPr/>
      </xdr:nvSpPr>
      <xdr:spPr>
        <a:xfrm>
          <a:off x="9423400" y="3127375"/>
          <a:ext cx="3394075" cy="250825"/>
        </a:xfrm>
        <a:prstGeom prst="roundRect">
          <a:avLst/>
        </a:prstGeom>
        <a:solidFill>
          <a:srgbClr val="DBEDDE"/>
        </a:solidFill>
        <a:ln w="9525">
          <a:solidFill>
            <a:srgbClr val="5D8F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rIns="25400" rtlCol="0" anchor="ctr"/>
        <a:lstStyle/>
        <a:p>
          <a:pPr algn="ctr"/>
          <a:r>
            <a:rPr lang="de-DE" sz="900" b="1">
              <a:solidFill>
                <a:srgbClr val="2D3748"/>
              </a:solidFill>
            </a:rPr>
            <a:t>Ferien aus Kalender vorschlagen</a:t>
          </a:r>
        </a:p>
      </xdr:txBody>
    </xdr:sp>
    <xdr:clientData/>
  </xdr:twoCellAnchor>
  <xdr:twoCellAnchor>
    <xdr:from>
      <xdr:col>0</xdr:col>
      <xdr:colOff>12700</xdr:colOff>
      <xdr:row>11</xdr:row>
      <xdr:rowOff>12700</xdr:rowOff>
    </xdr:from>
    <xdr:to>
      <xdr:col>1</xdr:col>
      <xdr:colOff>2663825</xdr:colOff>
      <xdr:row>11</xdr:row>
      <xdr:rowOff>263525</xdr:rowOff>
    </xdr:to>
    <xdr:sp macro="modKopf.Kopf_Aktualisieren" textlink="">
      <xdr:nvSpPr>
        <xdr:cNvPr id="3" name="esBtnKopf" descr="Kopf übernehmen">
          <a:extLst>
            <a:ext uri="{FF2B5EF4-FFF2-40B4-BE49-F238E27FC236}">
              <a16:creationId xmlns:a16="http://schemas.microsoft.com/office/drawing/2014/main" id="{596D5E38-1C41-5CC1-5E04-F8473546CBC1}"/>
            </a:ext>
          </a:extLst>
        </xdr:cNvPr>
        <xdr:cNvSpPr/>
      </xdr:nvSpPr>
      <xdr:spPr>
        <a:xfrm>
          <a:off x="12700" y="2851150"/>
          <a:ext cx="4832350" cy="250825"/>
        </a:xfrm>
        <a:prstGeom prst="roundRect">
          <a:avLst/>
        </a:prstGeom>
        <a:solidFill>
          <a:srgbClr val="DBEDDE"/>
        </a:solidFill>
        <a:ln w="9525">
          <a:solidFill>
            <a:srgbClr val="5D8F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rIns="25400" rtlCol="0" anchor="ctr"/>
        <a:lstStyle/>
        <a:p>
          <a:pPr algn="ctr"/>
          <a:r>
            <a:rPr lang="de-DE" sz="900" b="1">
              <a:solidFill>
                <a:srgbClr val="2D3748"/>
              </a:solidFill>
            </a:rPr>
            <a:t>Kopf übernehmen</a:t>
          </a:r>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D5A66-EAC8-4306-B82E-7D827C885D8A}">
  <sheetPr codeName="Tabelle4"/>
  <dimension ref="B1:C32"/>
  <sheetViews>
    <sheetView showGridLines="0" tabSelected="1" workbookViewId="0">
      <selection activeCell="B2" sqref="B2"/>
    </sheetView>
  </sheetViews>
  <sheetFormatPr baseColWidth="10" defaultRowHeight="15" x14ac:dyDescent="0.25"/>
  <cols>
    <col min="1" max="1" width="3.7109375" style="27" customWidth="1"/>
    <col min="2" max="2" width="32.7109375" style="27" customWidth="1"/>
    <col min="3" max="3" width="86.7109375" style="27" customWidth="1"/>
    <col min="4" max="16384" width="11.42578125" style="27"/>
  </cols>
  <sheetData>
    <row r="1" spans="2:3" ht="14.1" customHeight="1" x14ac:dyDescent="0.25"/>
    <row r="2" spans="2:3" ht="30" customHeight="1" x14ac:dyDescent="0.4">
      <c r="B2" s="56" t="s">
        <v>68</v>
      </c>
    </row>
    <row r="3" spans="2:3" x14ac:dyDescent="0.25">
      <c r="B3" s="57" t="s">
        <v>69</v>
      </c>
    </row>
    <row r="4" spans="2:3" x14ac:dyDescent="0.25">
      <c r="B4" s="58" t="str">
        <f>"Referenz-Codes: "&amp;IF(LOWER(Einstellungen!B5)="ja","fixiert","offen - werden noch berechnet")</f>
        <v>Referenz-Codes: offen - werden noch berechnet</v>
      </c>
    </row>
    <row r="5" spans="2:3" x14ac:dyDescent="0.25">
      <c r="B5" s="58" t="s">
        <v>74</v>
      </c>
    </row>
    <row r="6" spans="2:3" ht="30" customHeight="1" x14ac:dyDescent="0.25"/>
    <row r="7" spans="2:3" ht="24" customHeight="1" x14ac:dyDescent="0.25">
      <c r="B7" s="59" t="s">
        <v>70</v>
      </c>
      <c r="C7" s="60"/>
    </row>
    <row r="8" spans="2:3" ht="129.6" customHeight="1" x14ac:dyDescent="0.25">
      <c r="C8" s="61" t="s">
        <v>83</v>
      </c>
    </row>
    <row r="9" spans="2:3" ht="9.9499999999999993" customHeight="1" x14ac:dyDescent="0.25"/>
    <row r="10" spans="2:3" ht="75.599999999999994" customHeight="1" x14ac:dyDescent="0.25">
      <c r="C10" s="61" t="s">
        <v>84</v>
      </c>
    </row>
    <row r="11" spans="2:3" ht="9.9499999999999993" customHeight="1" x14ac:dyDescent="0.25"/>
    <row r="12" spans="2:3" ht="51.95" customHeight="1" x14ac:dyDescent="0.25">
      <c r="C12" s="61" t="s">
        <v>85</v>
      </c>
    </row>
    <row r="13" spans="2:3" ht="9.9499999999999993" customHeight="1" x14ac:dyDescent="0.25"/>
    <row r="14" spans="2:3" ht="62.1" customHeight="1" x14ac:dyDescent="0.25">
      <c r="C14" s="61" t="s">
        <v>89</v>
      </c>
    </row>
    <row r="15" spans="2:3" ht="9.9499999999999993" customHeight="1" x14ac:dyDescent="0.25"/>
    <row r="16" spans="2:3" ht="20.100000000000001" customHeight="1" x14ac:dyDescent="0.25">
      <c r="B16" s="20" t="s">
        <v>81</v>
      </c>
      <c r="C16" s="62" t="s">
        <v>75</v>
      </c>
    </row>
    <row r="17" spans="2:3" ht="26.1" customHeight="1" x14ac:dyDescent="0.25"/>
    <row r="18" spans="2:3" ht="26.1" customHeight="1" x14ac:dyDescent="0.25"/>
    <row r="19" spans="2:3" ht="24" customHeight="1" x14ac:dyDescent="0.25">
      <c r="B19" s="59" t="s">
        <v>86</v>
      </c>
      <c r="C19" s="60"/>
    </row>
    <row r="20" spans="2:3" ht="89.1" customHeight="1" x14ac:dyDescent="0.25">
      <c r="C20" s="61" t="s">
        <v>90</v>
      </c>
    </row>
    <row r="21" spans="2:3" ht="9.9499999999999993" customHeight="1" x14ac:dyDescent="0.25"/>
    <row r="22" spans="2:3" ht="26.1" customHeight="1" x14ac:dyDescent="0.25"/>
    <row r="23" spans="2:3" ht="24" customHeight="1" x14ac:dyDescent="0.25">
      <c r="B23" s="59" t="s">
        <v>71</v>
      </c>
      <c r="C23" s="60"/>
    </row>
    <row r="24" spans="2:3" ht="68.849999999999994" customHeight="1" x14ac:dyDescent="0.25">
      <c r="C24" s="63" t="s">
        <v>87</v>
      </c>
    </row>
    <row r="25" spans="2:3" ht="9.9499999999999993" customHeight="1" x14ac:dyDescent="0.25"/>
    <row r="26" spans="2:3" ht="93" customHeight="1" x14ac:dyDescent="0.25">
      <c r="C26" s="64" t="s">
        <v>91</v>
      </c>
    </row>
    <row r="27" spans="2:3" ht="9.9499999999999993" customHeight="1" x14ac:dyDescent="0.25"/>
    <row r="28" spans="2:3" ht="26.1" customHeight="1" x14ac:dyDescent="0.25"/>
    <row r="29" spans="2:3" ht="27.95" customHeight="1" x14ac:dyDescent="0.25">
      <c r="B29" s="65" t="s">
        <v>88</v>
      </c>
      <c r="C29" s="65"/>
    </row>
    <row r="30" spans="2:3" ht="30" customHeight="1" x14ac:dyDescent="0.25"/>
    <row r="31" spans="2:3" ht="30" customHeight="1" x14ac:dyDescent="0.25"/>
    <row r="32" spans="2:3" ht="8.1" customHeight="1" x14ac:dyDescent="0.25"/>
  </sheetData>
  <sheetProtection algorithmName="SHA-512" hashValue="sVbARjhv3u6p5GSOLH9Oa8I9H1mfsjCBNtRqX09qlKWrIfU3pdUpmGh272/NOyDRyh/ocjHzWxAdDJ2OHj4AMw==" saltValue="iGEG4dlSFJGfatF99MCNlQ==" spinCount="100000" sheet="1" formatColumns="0" formatRows="0"/>
  <mergeCells count="1">
    <mergeCell ref="B29:C29"/>
  </mergeCells>
  <dataValidations count="1">
    <dataValidation type="list" showInputMessage="1" showErrorMessage="1" sqref="B16" xr:uid="{AB1DEF75-464E-4BE4-A570-E545498EC382}">
      <formula1>"DIN A4,DIN A3"</formula1>
    </dataValidation>
  </dataValidations>
  <pageMargins left="0.7" right="0.7" top="0.78740157499999996" bottom="0.78740157499999996"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pageSetUpPr fitToPage="1"/>
  </sheetPr>
  <dimension ref="A1:V39"/>
  <sheetViews>
    <sheetView showGridLines="0" zoomScaleNormal="100" workbookViewId="0">
      <pane ySplit="3" topLeftCell="A4" activePane="bottomLeft" state="frozen"/>
      <selection pane="bottomLeft"/>
    </sheetView>
  </sheetViews>
  <sheetFormatPr baseColWidth="10" defaultColWidth="8.7109375" defaultRowHeight="19.5" outlineLevelCol="1" x14ac:dyDescent="0.25"/>
  <cols>
    <col min="1" max="1" width="3.28515625" style="22" customWidth="1"/>
    <col min="2" max="2" width="16.42578125" style="27" customWidth="1"/>
    <col min="3" max="3" width="16" style="27" customWidth="1"/>
    <col min="4" max="5" width="6" style="27" customWidth="1"/>
    <col min="6" max="6" width="16.42578125" style="27" customWidth="1"/>
    <col min="7" max="7" width="34" style="27" customWidth="1"/>
    <col min="8" max="8" width="54" style="27" customWidth="1"/>
    <col min="9" max="9" width="28" style="27" customWidth="1"/>
    <col min="10" max="10" width="10" style="27" customWidth="1"/>
    <col min="11" max="11" width="18.42578125" style="27" customWidth="1"/>
    <col min="12" max="12" width="11.85546875" style="27" bestFit="1" customWidth="1"/>
    <col min="13" max="13" width="59.42578125" style="27" customWidth="1"/>
    <col min="14" max="14" width="4.140625" style="27" customWidth="1"/>
    <col min="15" max="15" width="8.7109375" style="27" customWidth="1"/>
    <col min="16" max="19" width="8.7109375" style="27" hidden="1" customWidth="1" outlineLevel="1"/>
    <col min="20" max="20" width="8.7109375" style="27" customWidth="1" collapsed="1"/>
    <col min="21" max="22" width="8.7109375" style="27" hidden="1" customWidth="1"/>
    <col min="23" max="16384" width="8.7109375" style="27"/>
  </cols>
  <sheetData>
    <row r="1" spans="1:22" ht="33.950000000000003" customHeight="1" thickBot="1" x14ac:dyDescent="0.3">
      <c r="B1" s="23"/>
      <c r="C1" s="24"/>
      <c r="D1" s="24"/>
      <c r="E1" s="24"/>
      <c r="F1" s="24"/>
      <c r="G1" s="25"/>
      <c r="H1" s="25"/>
      <c r="I1" s="25"/>
      <c r="J1" s="25"/>
      <c r="K1" s="25"/>
      <c r="L1" s="25"/>
      <c r="M1" s="26" t="s">
        <v>82</v>
      </c>
    </row>
    <row r="2" spans="1:22" ht="6" customHeight="1" x14ac:dyDescent="0.25">
      <c r="B2" s="28"/>
      <c r="C2" s="28"/>
      <c r="D2" s="28"/>
      <c r="E2" s="28"/>
      <c r="F2" s="28"/>
      <c r="G2" s="28"/>
      <c r="H2" s="28"/>
      <c r="I2" s="28"/>
      <c r="J2" s="28"/>
      <c r="K2" s="28"/>
      <c r="L2" s="28"/>
      <c r="M2" s="28"/>
    </row>
    <row r="3" spans="1:22" ht="38.25" customHeight="1" x14ac:dyDescent="0.25">
      <c r="B3" s="29" t="s">
        <v>30</v>
      </c>
      <c r="C3" s="29" t="s">
        <v>35</v>
      </c>
      <c r="D3" s="29" t="s">
        <v>0</v>
      </c>
      <c r="E3" s="30" t="s">
        <v>7</v>
      </c>
      <c r="F3" s="31" t="s">
        <v>37</v>
      </c>
      <c r="G3" s="31" t="s">
        <v>2</v>
      </c>
      <c r="H3" s="31" t="s">
        <v>3</v>
      </c>
      <c r="I3" s="31" t="s">
        <v>4</v>
      </c>
      <c r="J3" s="31" t="s">
        <v>5</v>
      </c>
      <c r="K3" s="31" t="s">
        <v>31</v>
      </c>
      <c r="L3" s="29" t="s">
        <v>47</v>
      </c>
      <c r="M3" s="32" t="s">
        <v>6</v>
      </c>
      <c r="O3" s="33" t="str">
        <f>IF(COUNTIF(P4:S4,"!"),"Warnungen","")</f>
        <v/>
      </c>
      <c r="P3" s="34" t="s">
        <v>41</v>
      </c>
      <c r="Q3" s="35" t="s">
        <v>36</v>
      </c>
      <c r="R3" s="35" t="s">
        <v>43</v>
      </c>
      <c r="S3" s="35" t="s">
        <v>42</v>
      </c>
    </row>
    <row r="4" spans="1:22" ht="45.75" customHeight="1" x14ac:dyDescent="0.25">
      <c r="A4" s="22" t="str">
        <f>IF($E4="","",IF(COUNTIF(P4:S4,"!"),"!",""))</f>
        <v/>
      </c>
      <c r="B4" s="36" t="str">
        <f>IF($F4="","",$F4&amp;"-"&amp;TEXT(COUNTA($F$4:$F4),"00"))</f>
        <v/>
      </c>
      <c r="C4" s="36" t="str">
        <f>IF($V4=0,"",TEXT(INDEX(Einstellungen!$B$15:$B$52,$V4),"TT.MM")&amp;" - "&amp;TEXT(INDEX(Einstellungen!$C$15:$C$52,$V4),"TT.MM"))</f>
        <v/>
      </c>
      <c r="D4" s="36" t="str">
        <f>IF($V4=0,"",_xlfn.ISOWEEKNUM(DATE(IF(MONTH(INDEX(Einstellungen!$B$15:$B$52,$V4))&gt;=9,Einstellungen!$B$1,Einstellungen!$B$1+1),MONTH(INDEX(Einstellungen!$B$15:$B$52,$V4)),DAY(INDEX(Einstellungen!$B$15:$B$52,$V4)))))</f>
        <v/>
      </c>
      <c r="E4" s="1"/>
      <c r="F4" s="2"/>
      <c r="G4" s="3"/>
      <c r="H4" s="4"/>
      <c r="I4" s="4"/>
      <c r="J4" s="5"/>
      <c r="K4" s="6"/>
      <c r="L4" s="43" t="str">
        <f>IF($V4=0,"",IF(AND(INDEX(Einstellungen!$E$15:$E$52,$V4),INDEX(Einstellungen!$F$15:$F$52,$V4)),"1/2 Woche"&amp;CHAR(10)&amp;"1/2 Klasse",IF(INDEX(Einstellungen!$E$15:$E$52,$V4),"1/2 Woche",IF(INDEX(Einstellungen!$F$15:$F$52,$V4),"1/2 Klasse",""))))</f>
        <v/>
      </c>
      <c r="M4" s="7"/>
      <c r="P4" s="45" t="str">
        <f>IF(OR($V4=0,$E4&gt;Einstellungen!$B$3),"",IF(INDEX(Einstellungen!$D$15:$D$52,$V4),"","!"))</f>
        <v/>
      </c>
      <c r="Q4" s="45" t="str">
        <f>IF($E4="","",IF(OR($U4=$F4,_xlfn.REGEXTEST($F4,"P$")),"","!"))</f>
        <v/>
      </c>
      <c r="R4" s="45" t="str">
        <f>IF($E4="","",IF($E4&lt;=Einstellungen!$B$3,"","!"))</f>
        <v/>
      </c>
      <c r="S4" s="45"/>
      <c r="U4" s="27" cm="1">
        <f t="array" ref="U4">IFERROR(INDEX(_xlfn._xlws.FILTER(Lernbereiche!$A$4:$A$52,(Lernbereiche!$B$4:$B$52&lt;=$E4)*(Lernbereiche!$C$4:$C$52&gt;=$E4),""),1),"")</f>
        <v>0</v>
      </c>
      <c r="V4" s="27">
        <f>IFERROR(MATCH($E4,Einstellungen!$A$15:$A$52,0),0)</f>
        <v>0</v>
      </c>
    </row>
    <row r="5" spans="1:22" ht="45.75" customHeight="1" x14ac:dyDescent="0.25">
      <c r="B5" s="36"/>
      <c r="C5" s="36"/>
      <c r="D5" s="36"/>
      <c r="E5" s="37"/>
      <c r="F5" s="38"/>
      <c r="G5" s="39"/>
      <c r="H5" s="40"/>
      <c r="I5" s="40"/>
      <c r="J5" s="41"/>
      <c r="K5" s="42"/>
      <c r="L5" s="43"/>
      <c r="M5" s="44"/>
      <c r="P5" s="45"/>
      <c r="Q5" s="45"/>
      <c r="R5" s="45"/>
      <c r="S5" s="45"/>
    </row>
    <row r="6" spans="1:22" ht="45.75" customHeight="1" x14ac:dyDescent="0.25">
      <c r="B6" s="36"/>
      <c r="C6" s="36"/>
      <c r="D6" s="36"/>
      <c r="E6" s="37"/>
      <c r="F6" s="38"/>
      <c r="G6" s="39"/>
      <c r="H6" s="40"/>
      <c r="I6" s="40"/>
      <c r="J6" s="41"/>
      <c r="K6" s="42"/>
      <c r="L6" s="43"/>
      <c r="M6" s="44"/>
      <c r="P6" s="45"/>
      <c r="Q6" s="45"/>
      <c r="R6" s="45"/>
      <c r="S6" s="45"/>
    </row>
    <row r="7" spans="1:22" ht="45.75" customHeight="1" x14ac:dyDescent="0.25">
      <c r="B7" s="36"/>
      <c r="C7" s="36"/>
      <c r="D7" s="36"/>
      <c r="E7" s="37"/>
      <c r="F7" s="38"/>
      <c r="G7" s="39"/>
      <c r="H7" s="40"/>
      <c r="I7" s="40"/>
      <c r="J7" s="41"/>
      <c r="K7" s="42"/>
      <c r="L7" s="43"/>
      <c r="M7" s="44"/>
      <c r="P7" s="45"/>
      <c r="Q7" s="45"/>
      <c r="R7" s="45"/>
      <c r="S7" s="45"/>
    </row>
    <row r="8" spans="1:22" ht="45.75" customHeight="1" x14ac:dyDescent="0.25">
      <c r="B8" s="36"/>
      <c r="C8" s="36"/>
      <c r="D8" s="36"/>
      <c r="E8" s="37"/>
      <c r="F8" s="38"/>
      <c r="G8" s="39"/>
      <c r="H8" s="40"/>
      <c r="I8" s="40"/>
      <c r="J8" s="41"/>
      <c r="K8" s="42"/>
      <c r="L8" s="43"/>
      <c r="M8" s="44"/>
      <c r="P8" s="45"/>
      <c r="Q8" s="45"/>
      <c r="R8" s="45"/>
      <c r="S8" s="45"/>
    </row>
    <row r="9" spans="1:22" ht="45.75" customHeight="1" x14ac:dyDescent="0.25">
      <c r="B9" s="36"/>
      <c r="C9" s="36"/>
      <c r="D9" s="36"/>
      <c r="E9" s="37"/>
      <c r="F9" s="38"/>
      <c r="G9" s="39"/>
      <c r="H9" s="40"/>
      <c r="I9" s="40"/>
      <c r="J9" s="41"/>
      <c r="K9" s="42"/>
      <c r="L9" s="43"/>
      <c r="M9" s="44"/>
      <c r="P9" s="45"/>
      <c r="Q9" s="45"/>
      <c r="R9" s="45"/>
      <c r="S9" s="45"/>
    </row>
    <row r="10" spans="1:22" ht="45.75" customHeight="1" x14ac:dyDescent="0.25">
      <c r="B10" s="36"/>
      <c r="C10" s="36"/>
      <c r="D10" s="36"/>
      <c r="E10" s="37"/>
      <c r="F10" s="38"/>
      <c r="G10" s="39"/>
      <c r="H10" s="40"/>
      <c r="I10" s="40"/>
      <c r="J10" s="41"/>
      <c r="K10" s="42"/>
      <c r="L10" s="43"/>
      <c r="M10" s="44"/>
      <c r="P10" s="45"/>
      <c r="Q10" s="45"/>
      <c r="R10" s="45"/>
      <c r="S10" s="45"/>
    </row>
    <row r="11" spans="1:22" ht="45.75" customHeight="1" x14ac:dyDescent="0.25">
      <c r="B11" s="36"/>
      <c r="C11" s="36"/>
      <c r="D11" s="36"/>
      <c r="E11" s="37"/>
      <c r="F11" s="38"/>
      <c r="G11" s="39"/>
      <c r="H11" s="40"/>
      <c r="I11" s="40"/>
      <c r="J11" s="41"/>
      <c r="K11" s="42"/>
      <c r="L11" s="43"/>
      <c r="M11" s="44"/>
      <c r="P11" s="45"/>
      <c r="Q11" s="45"/>
      <c r="R11" s="45"/>
      <c r="S11" s="45"/>
    </row>
    <row r="12" spans="1:22" ht="45.75" customHeight="1" x14ac:dyDescent="0.25">
      <c r="B12" s="36"/>
      <c r="C12" s="36"/>
      <c r="D12" s="36"/>
      <c r="E12" s="37"/>
      <c r="F12" s="38"/>
      <c r="G12" s="39"/>
      <c r="H12" s="40"/>
      <c r="I12" s="40"/>
      <c r="J12" s="41"/>
      <c r="K12" s="42"/>
      <c r="L12" s="43"/>
      <c r="M12" s="44"/>
      <c r="P12" s="45"/>
      <c r="Q12" s="45"/>
      <c r="R12" s="45"/>
      <c r="S12" s="45"/>
    </row>
    <row r="13" spans="1:22" ht="45.75" customHeight="1" x14ac:dyDescent="0.25">
      <c r="B13" s="36"/>
      <c r="C13" s="36"/>
      <c r="D13" s="36"/>
      <c r="E13" s="37"/>
      <c r="F13" s="38"/>
      <c r="G13" s="39"/>
      <c r="H13" s="40"/>
      <c r="I13" s="40"/>
      <c r="J13" s="41"/>
      <c r="K13" s="42"/>
      <c r="L13" s="43"/>
      <c r="M13" s="44"/>
      <c r="P13" s="45"/>
      <c r="Q13" s="45"/>
      <c r="R13" s="45"/>
      <c r="S13" s="45"/>
    </row>
    <row r="14" spans="1:22" ht="45.75" customHeight="1" x14ac:dyDescent="0.25">
      <c r="B14" s="36"/>
      <c r="C14" s="36"/>
      <c r="D14" s="36"/>
      <c r="E14" s="37"/>
      <c r="F14" s="38"/>
      <c r="G14" s="39"/>
      <c r="H14" s="40"/>
      <c r="I14" s="40"/>
      <c r="J14" s="41"/>
      <c r="K14" s="42"/>
      <c r="L14" s="43"/>
      <c r="M14" s="44"/>
      <c r="P14" s="45"/>
      <c r="Q14" s="45"/>
      <c r="R14" s="45"/>
      <c r="S14" s="45"/>
    </row>
    <row r="15" spans="1:22" ht="45.75" customHeight="1" x14ac:dyDescent="0.25">
      <c r="B15" s="36"/>
      <c r="C15" s="36"/>
      <c r="D15" s="36"/>
      <c r="E15" s="37"/>
      <c r="F15" s="38"/>
      <c r="G15" s="39"/>
      <c r="H15" s="40"/>
      <c r="I15" s="40"/>
      <c r="J15" s="41"/>
      <c r="K15" s="42"/>
      <c r="L15" s="43"/>
      <c r="M15" s="44"/>
      <c r="P15" s="45"/>
      <c r="Q15" s="45"/>
      <c r="R15" s="45"/>
      <c r="S15" s="45"/>
    </row>
    <row r="16" spans="1:22" ht="45.75" customHeight="1" x14ac:dyDescent="0.25">
      <c r="B16" s="36"/>
      <c r="C16" s="36"/>
      <c r="D16" s="36"/>
      <c r="E16" s="37"/>
      <c r="F16" s="38"/>
      <c r="G16" s="39"/>
      <c r="H16" s="40"/>
      <c r="I16" s="40"/>
      <c r="J16" s="41"/>
      <c r="K16" s="42"/>
      <c r="L16" s="43"/>
      <c r="M16" s="44"/>
      <c r="P16" s="45"/>
      <c r="Q16" s="45"/>
      <c r="R16" s="45"/>
      <c r="S16" s="45"/>
    </row>
    <row r="17" spans="2:19" ht="45.75" customHeight="1" x14ac:dyDescent="0.25">
      <c r="B17" s="36"/>
      <c r="C17" s="36"/>
      <c r="D17" s="36"/>
      <c r="E17" s="37"/>
      <c r="F17" s="38"/>
      <c r="G17" s="39"/>
      <c r="H17" s="40"/>
      <c r="I17" s="40"/>
      <c r="J17" s="41"/>
      <c r="K17" s="42"/>
      <c r="L17" s="43"/>
      <c r="M17" s="44"/>
      <c r="P17" s="45"/>
      <c r="Q17" s="45"/>
      <c r="R17" s="45"/>
      <c r="S17" s="45"/>
    </row>
    <row r="18" spans="2:19" ht="45.75" customHeight="1" x14ac:dyDescent="0.25">
      <c r="B18" s="36"/>
      <c r="C18" s="36"/>
      <c r="D18" s="36"/>
      <c r="E18" s="37"/>
      <c r="F18" s="38"/>
      <c r="G18" s="39"/>
      <c r="H18" s="40"/>
      <c r="I18" s="40"/>
      <c r="J18" s="41"/>
      <c r="K18" s="42"/>
      <c r="L18" s="43"/>
      <c r="M18" s="44"/>
      <c r="P18" s="45"/>
      <c r="Q18" s="45"/>
      <c r="R18" s="45"/>
      <c r="S18" s="45"/>
    </row>
    <row r="19" spans="2:19" ht="45.75" customHeight="1" x14ac:dyDescent="0.25">
      <c r="B19" s="36"/>
      <c r="C19" s="36"/>
      <c r="D19" s="36"/>
      <c r="E19" s="37"/>
      <c r="F19" s="38"/>
      <c r="G19" s="39"/>
      <c r="H19" s="40"/>
      <c r="I19" s="40"/>
      <c r="J19" s="41"/>
      <c r="K19" s="42"/>
      <c r="L19" s="43"/>
      <c r="M19" s="44"/>
      <c r="P19" s="45"/>
      <c r="Q19" s="45"/>
      <c r="R19" s="45"/>
      <c r="S19" s="45"/>
    </row>
    <row r="20" spans="2:19" ht="45.75" customHeight="1" x14ac:dyDescent="0.25">
      <c r="B20" s="36"/>
      <c r="C20" s="36"/>
      <c r="D20" s="36"/>
      <c r="E20" s="37"/>
      <c r="F20" s="38"/>
      <c r="G20" s="39"/>
      <c r="H20" s="40"/>
      <c r="I20" s="40"/>
      <c r="J20" s="41"/>
      <c r="K20" s="42"/>
      <c r="L20" s="43"/>
      <c r="M20" s="44"/>
      <c r="P20" s="45"/>
      <c r="Q20" s="45"/>
      <c r="R20" s="45"/>
      <c r="S20" s="45"/>
    </row>
    <row r="21" spans="2:19" ht="45.75" customHeight="1" x14ac:dyDescent="0.25">
      <c r="B21" s="36"/>
      <c r="C21" s="36"/>
      <c r="D21" s="36"/>
      <c r="E21" s="37"/>
      <c r="F21" s="38"/>
      <c r="G21" s="39"/>
      <c r="H21" s="40"/>
      <c r="I21" s="40"/>
      <c r="J21" s="41"/>
      <c r="K21" s="42"/>
      <c r="L21" s="43"/>
      <c r="M21" s="44"/>
      <c r="P21" s="45"/>
      <c r="Q21" s="45"/>
      <c r="R21" s="45"/>
      <c r="S21" s="45"/>
    </row>
    <row r="22" spans="2:19" ht="45.75" customHeight="1" x14ac:dyDescent="0.25">
      <c r="B22" s="36"/>
      <c r="C22" s="36"/>
      <c r="D22" s="36"/>
      <c r="E22" s="37"/>
      <c r="F22" s="38"/>
      <c r="G22" s="39"/>
      <c r="H22" s="40"/>
      <c r="I22" s="40"/>
      <c r="J22" s="41"/>
      <c r="K22" s="42"/>
      <c r="L22" s="43"/>
      <c r="M22" s="44"/>
      <c r="P22" s="45"/>
      <c r="Q22" s="45"/>
      <c r="R22" s="45"/>
      <c r="S22" s="45"/>
    </row>
    <row r="23" spans="2:19" ht="45.75" customHeight="1" x14ac:dyDescent="0.25">
      <c r="B23" s="36"/>
      <c r="C23" s="36"/>
      <c r="D23" s="36"/>
      <c r="E23" s="37"/>
      <c r="F23" s="38"/>
      <c r="G23" s="39"/>
      <c r="H23" s="40"/>
      <c r="I23" s="40"/>
      <c r="J23" s="41"/>
      <c r="K23" s="42"/>
      <c r="L23" s="43"/>
      <c r="M23" s="44"/>
      <c r="P23" s="45"/>
      <c r="Q23" s="45"/>
      <c r="R23" s="45"/>
      <c r="S23" s="45"/>
    </row>
    <row r="24" spans="2:19" ht="45.75" customHeight="1" x14ac:dyDescent="0.25">
      <c r="B24" s="36"/>
      <c r="C24" s="36"/>
      <c r="D24" s="36"/>
      <c r="E24" s="37"/>
      <c r="F24" s="38"/>
      <c r="G24" s="39"/>
      <c r="H24" s="40"/>
      <c r="I24" s="40"/>
      <c r="J24" s="41"/>
      <c r="K24" s="42"/>
      <c r="L24" s="43"/>
      <c r="M24" s="44"/>
      <c r="P24" s="45"/>
      <c r="Q24" s="45"/>
      <c r="R24" s="45"/>
      <c r="S24" s="45"/>
    </row>
    <row r="25" spans="2:19" ht="45.75" customHeight="1" x14ac:dyDescent="0.25">
      <c r="B25" s="36"/>
      <c r="C25" s="36"/>
      <c r="D25" s="36"/>
      <c r="E25" s="37"/>
      <c r="F25" s="38"/>
      <c r="G25" s="39"/>
      <c r="H25" s="40"/>
      <c r="I25" s="40"/>
      <c r="J25" s="41"/>
      <c r="K25" s="42"/>
      <c r="L25" s="43"/>
      <c r="M25" s="44"/>
      <c r="P25" s="45"/>
      <c r="Q25" s="45"/>
      <c r="R25" s="45"/>
      <c r="S25" s="45"/>
    </row>
    <row r="26" spans="2:19" ht="45.75" customHeight="1" x14ac:dyDescent="0.25">
      <c r="B26" s="36"/>
      <c r="C26" s="36"/>
      <c r="D26" s="36"/>
      <c r="E26" s="37"/>
      <c r="F26" s="38"/>
      <c r="G26" s="39"/>
      <c r="H26" s="40"/>
      <c r="I26" s="40"/>
      <c r="J26" s="41"/>
      <c r="K26" s="42"/>
      <c r="L26" s="43"/>
      <c r="M26" s="44"/>
      <c r="P26" s="45"/>
      <c r="Q26" s="45"/>
      <c r="R26" s="45"/>
      <c r="S26" s="45"/>
    </row>
    <row r="27" spans="2:19" ht="45.75" customHeight="1" x14ac:dyDescent="0.25">
      <c r="B27" s="36"/>
      <c r="C27" s="36"/>
      <c r="D27" s="36"/>
      <c r="E27" s="37"/>
      <c r="F27" s="38"/>
      <c r="G27" s="39"/>
      <c r="H27" s="40"/>
      <c r="I27" s="40"/>
      <c r="J27" s="41"/>
      <c r="K27" s="42"/>
      <c r="L27" s="43"/>
      <c r="M27" s="44"/>
      <c r="P27" s="45"/>
      <c r="Q27" s="45"/>
      <c r="R27" s="45"/>
      <c r="S27" s="45"/>
    </row>
    <row r="28" spans="2:19" ht="45.75" customHeight="1" x14ac:dyDescent="0.25">
      <c r="B28" s="36"/>
      <c r="C28" s="36"/>
      <c r="D28" s="36"/>
      <c r="E28" s="37"/>
      <c r="F28" s="38"/>
      <c r="G28" s="39"/>
      <c r="H28" s="40"/>
      <c r="I28" s="40"/>
      <c r="J28" s="41"/>
      <c r="K28" s="42"/>
      <c r="L28" s="43"/>
      <c r="M28" s="44"/>
      <c r="P28" s="45"/>
      <c r="Q28" s="45"/>
      <c r="R28" s="45"/>
      <c r="S28" s="45"/>
    </row>
    <row r="29" spans="2:19" ht="45.75" customHeight="1" x14ac:dyDescent="0.25">
      <c r="B29" s="36"/>
      <c r="C29" s="36"/>
      <c r="D29" s="36"/>
      <c r="E29" s="37"/>
      <c r="F29" s="38"/>
      <c r="G29" s="39"/>
      <c r="H29" s="40"/>
      <c r="I29" s="40"/>
      <c r="J29" s="41"/>
      <c r="K29" s="42"/>
      <c r="L29" s="43"/>
      <c r="M29" s="44"/>
      <c r="P29" s="45"/>
      <c r="Q29" s="45"/>
      <c r="R29" s="45"/>
      <c r="S29" s="45"/>
    </row>
    <row r="30" spans="2:19" ht="45.75" customHeight="1" x14ac:dyDescent="0.25">
      <c r="B30" s="36"/>
      <c r="C30" s="36"/>
      <c r="D30" s="36"/>
      <c r="E30" s="37"/>
      <c r="F30" s="38"/>
      <c r="G30" s="39"/>
      <c r="H30" s="40"/>
      <c r="I30" s="40"/>
      <c r="J30" s="41"/>
      <c r="K30" s="42"/>
      <c r="L30" s="43"/>
      <c r="M30" s="44"/>
      <c r="P30" s="45"/>
      <c r="Q30" s="45"/>
      <c r="R30" s="45"/>
      <c r="S30" s="45"/>
    </row>
    <row r="31" spans="2:19" ht="45.75" customHeight="1" x14ac:dyDescent="0.25">
      <c r="B31" s="36"/>
      <c r="C31" s="36"/>
      <c r="D31" s="36"/>
      <c r="E31" s="37"/>
      <c r="F31" s="38"/>
      <c r="G31" s="39"/>
      <c r="H31" s="40"/>
      <c r="I31" s="40"/>
      <c r="J31" s="41"/>
      <c r="K31" s="42"/>
      <c r="L31" s="43"/>
      <c r="M31" s="44"/>
      <c r="P31" s="45"/>
      <c r="Q31" s="45"/>
      <c r="R31" s="45"/>
      <c r="S31" s="45"/>
    </row>
    <row r="32" spans="2:19" ht="45.75" customHeight="1" x14ac:dyDescent="0.25">
      <c r="B32" s="36"/>
      <c r="C32" s="36"/>
      <c r="D32" s="36"/>
      <c r="E32" s="37"/>
      <c r="F32" s="38"/>
      <c r="G32" s="39"/>
      <c r="H32" s="40"/>
      <c r="I32" s="40"/>
      <c r="J32" s="41"/>
      <c r="K32" s="42"/>
      <c r="L32" s="43"/>
      <c r="M32" s="44"/>
      <c r="P32" s="45"/>
      <c r="Q32" s="45"/>
      <c r="R32" s="45"/>
      <c r="S32" s="45"/>
    </row>
    <row r="33" spans="2:19" ht="45.75" customHeight="1" x14ac:dyDescent="0.25">
      <c r="B33" s="36"/>
      <c r="C33" s="36"/>
      <c r="D33" s="36"/>
      <c r="E33" s="37"/>
      <c r="F33" s="38"/>
      <c r="G33" s="39"/>
      <c r="H33" s="40"/>
      <c r="I33" s="40"/>
      <c r="J33" s="41"/>
      <c r="K33" s="42"/>
      <c r="L33" s="43"/>
      <c r="M33" s="44"/>
      <c r="P33" s="45"/>
      <c r="Q33" s="45"/>
      <c r="R33" s="45"/>
      <c r="S33" s="45"/>
    </row>
    <row r="34" spans="2:19" ht="45.75" customHeight="1" x14ac:dyDescent="0.25">
      <c r="B34" s="36"/>
      <c r="C34" s="36"/>
      <c r="D34" s="36"/>
      <c r="E34" s="37"/>
      <c r="F34" s="38"/>
      <c r="G34" s="39"/>
      <c r="H34" s="40"/>
      <c r="I34" s="40"/>
      <c r="J34" s="41"/>
      <c r="K34" s="42"/>
      <c r="L34" s="43"/>
      <c r="M34" s="44"/>
      <c r="P34" s="45"/>
      <c r="Q34" s="45"/>
      <c r="R34" s="45"/>
      <c r="S34" s="45"/>
    </row>
    <row r="35" spans="2:19" ht="45.75" customHeight="1" x14ac:dyDescent="0.25">
      <c r="B35" s="36"/>
      <c r="C35" s="36"/>
      <c r="D35" s="36"/>
      <c r="E35" s="37"/>
      <c r="F35" s="38"/>
      <c r="G35" s="39"/>
      <c r="H35" s="40"/>
      <c r="I35" s="40"/>
      <c r="J35" s="41"/>
      <c r="K35" s="42"/>
      <c r="L35" s="43"/>
      <c r="M35" s="44"/>
      <c r="P35" s="45"/>
      <c r="Q35" s="45"/>
      <c r="R35" s="45"/>
      <c r="S35" s="45"/>
    </row>
    <row r="36" spans="2:19" ht="45.75" customHeight="1" x14ac:dyDescent="0.25">
      <c r="B36" s="36"/>
      <c r="C36" s="36"/>
      <c r="D36" s="36"/>
      <c r="E36" s="37"/>
      <c r="F36" s="38"/>
      <c r="G36" s="39"/>
      <c r="H36" s="40"/>
      <c r="I36" s="40"/>
      <c r="J36" s="41"/>
      <c r="K36" s="42"/>
      <c r="L36" s="43"/>
      <c r="M36" s="44"/>
      <c r="P36" s="45"/>
      <c r="Q36" s="45"/>
      <c r="R36" s="45"/>
      <c r="S36" s="45"/>
    </row>
    <row r="37" spans="2:19" ht="45.75" customHeight="1" x14ac:dyDescent="0.25">
      <c r="B37" s="36"/>
      <c r="C37" s="36"/>
      <c r="D37" s="36"/>
      <c r="E37" s="37"/>
      <c r="F37" s="38"/>
      <c r="G37" s="39"/>
      <c r="H37" s="40"/>
      <c r="I37" s="40"/>
      <c r="J37" s="41"/>
      <c r="K37" s="42"/>
      <c r="L37" s="43"/>
      <c r="M37" s="44"/>
      <c r="P37" s="45"/>
      <c r="Q37" s="45"/>
      <c r="R37" s="45"/>
      <c r="S37" s="45"/>
    </row>
    <row r="38" spans="2:19" ht="45.75" customHeight="1" x14ac:dyDescent="0.25">
      <c r="B38" s="36"/>
      <c r="C38" s="36"/>
      <c r="D38" s="36"/>
      <c r="E38" s="37"/>
      <c r="F38" s="38"/>
      <c r="G38" s="39"/>
      <c r="H38" s="40"/>
      <c r="I38" s="40"/>
      <c r="J38" s="41"/>
      <c r="K38" s="42"/>
      <c r="L38" s="43"/>
      <c r="M38" s="44"/>
      <c r="P38" s="45"/>
      <c r="Q38" s="45"/>
      <c r="R38" s="45"/>
      <c r="S38" s="45"/>
    </row>
    <row r="39" spans="2:19" ht="45.75" customHeight="1" x14ac:dyDescent="0.25">
      <c r="B39" s="36"/>
      <c r="C39" s="36"/>
      <c r="D39" s="36"/>
      <c r="E39" s="37"/>
      <c r="F39" s="38"/>
      <c r="G39" s="39"/>
      <c r="H39" s="40"/>
      <c r="I39" s="40"/>
      <c r="J39" s="41"/>
      <c r="K39" s="42"/>
      <c r="L39" s="43"/>
      <c r="M39" s="44"/>
      <c r="P39" s="45"/>
      <c r="Q39" s="45"/>
      <c r="R39" s="45"/>
      <c r="S39" s="45"/>
    </row>
  </sheetData>
  <sheetProtection algorithmName="SHA-512" hashValue="pnxS/th/2VoQvRZYKqIKp2Q4rlR4lEw71IS2fysBkTFrtndpUm7UB9vsTB2CzWLq2sEuOujy8H8+mAWgAnGwHw==" saltValue="MMPT1OHRqVY8TL6/AI5vpQ==" spinCount="100000" sheet="1" formatColumns="0" formatRows="0"/>
  <mergeCells count="2">
    <mergeCell ref="B1:F1"/>
    <mergeCell ref="G1:L1"/>
  </mergeCells>
  <conditionalFormatting sqref="B4:M39">
    <cfRule type="expression" dxfId="7" priority="1">
      <formula>INDIRECT("J"&amp;ROW())</formula>
    </cfRule>
  </conditionalFormatting>
  <dataValidations count="1">
    <dataValidation allowBlank="1" sqref="J4:J39" xr:uid="{00000000-0002-0000-0100-000000000000}">
      <formula1>0</formula1>
      <formula2>0</formula2>
    </dataValidation>
  </dataValidations>
  <printOptions horizontalCentered="1"/>
  <pageMargins left="0.39370078740157477" right="0.39370078740157477" top="0.4724409448818897" bottom="0.4724409448818897" header="0.15748031496062995" footer="0.23622047244094485"/>
  <pageSetup paperSize="8" scale="74" fitToHeight="0" orientation="landscape" r:id="rId1"/>
  <headerFooter>
    <oddFooter>&amp;C&amp;8Seite &amp;P von &amp;N</oddFooter>
  </headerFooter>
  <drawing r:id="rId2"/>
  <extLst>
    <ext xmlns:x14="http://schemas.microsoft.com/office/spreadsheetml/2009/9/main" uri="{78C0D931-6437-407d-A8EE-F0AAD7539E65}">
      <x14:conditionalFormattings>
        <x14:conditionalFormatting xmlns:xm="http://schemas.microsoft.com/office/excel/2006/main">
          <x14:cfRule type="expression" priority="46" id="{00000000-000E-0000-0100-000002000000}">
            <xm:f>MATCH(INDIRECT("K"&amp;ROW()),Einstellungen!$M$2:$M$6,0)=1</xm:f>
            <x14:dxf>
              <fill>
                <patternFill>
                  <bgColor rgb="FFC4E3F2"/>
                </patternFill>
              </fill>
            </x14:dxf>
          </x14:cfRule>
          <x14:cfRule type="expression" priority="47" id="{00000000-000E-0000-0100-000003000000}">
            <xm:f>MATCH(INDIRECT("K"&amp;ROW()),Einstellungen!$M$2:$M$6,0)=2</xm:f>
            <x14:dxf>
              <fill>
                <patternFill>
                  <bgColor rgb="FFCACFFA"/>
                </patternFill>
              </fill>
            </x14:dxf>
          </x14:cfRule>
          <x14:cfRule type="expression" priority="48" id="{00000000-000E-0000-0100-000004000000}">
            <xm:f>MATCH(INDIRECT("K"&amp;ROW()),Einstellungen!$M$2:$M$6,0)=3</xm:f>
            <x14:dxf>
              <font>
                <b/>
                <i val="0"/>
                <color theme="0"/>
              </font>
              <fill>
                <patternFill>
                  <bgColor theme="5" tint="-0.499984740745262"/>
                </patternFill>
              </fill>
            </x14:dxf>
          </x14:cfRule>
          <x14:cfRule type="expression" priority="49" id="{00000000-000E-0000-0100-000006000000}">
            <xm:f>MATCH(INDIRECT("K"&amp;ROW()),Einstellungen!$M$2:$M$6,0)=4</xm:f>
            <x14:dxf>
              <fill>
                <patternFill>
                  <bgColor rgb="FFD9D2E9"/>
                </patternFill>
              </fill>
            </x14:dxf>
          </x14:cfRule>
          <x14:cfRule type="expression" priority="50" id="{17032196-A9F8-4E3C-A08D-5DAD70BDFBAF}">
            <xm:f>MATCH(INDIRECT("K"&amp;ROW()),Einstellungen!$M$2:$M$6,0)=5</xm:f>
            <x14:dxf>
              <font>
                <b val="0"/>
                <i/>
              </font>
              <fill>
                <patternFill>
                  <bgColor rgb="FFEFE4D5"/>
                </patternFill>
              </fill>
            </x14:dxf>
          </x14:cfRule>
          <x14:cfRule type="expression" priority="51" id="{B6570196-BFBE-4FAA-955D-10038CF8BD25}">
            <xm:f>INDEX(Einstellungen!$F$15:$F$52,INDIRECT("V"&amp;ROW()))</xm:f>
            <x14:dxf>
              <font>
                <b/>
                <i/>
                <color rgb="FFB58307"/>
              </font>
            </x14:dxf>
          </x14:cfRule>
          <x14:cfRule type="expression" priority="52" id="{B75BAEA1-EA03-40A0-8532-B96A6D68D3FC}">
            <xm:f>INDEX(Einstellungen!$E$15:$E$52,INDIRECT("V"&amp;ROW()))</xm:f>
            <x14:dxf>
              <font>
                <b/>
                <i/>
                <u val="none"/>
                <color rgb="FF4B537D"/>
              </font>
            </x14:dxf>
          </x14:cfRule>
          <xm:sqref>B4:M39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errorTitle="Ungültige Eingabe" error="Bitte einen Wert aus der Liste wählen." xr:uid="{FDDE3C40-7DB0-46EE-9FD8-CFB6275849F2}">
          <x14:formula1>
            <xm:f>Einstellungen!$M$2:$M$6</xm:f>
          </x14:formula1>
          <xm:sqref>K4:K39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pageSetUpPr fitToPage="1"/>
  </sheetPr>
  <dimension ref="A1:J50"/>
  <sheetViews>
    <sheetView showGridLines="0" zoomScaleNormal="100" workbookViewId="0">
      <pane ySplit="3" topLeftCell="A4" activePane="bottomLeft" state="frozen"/>
      <selection pane="bottomLeft" sqref="A1:C1"/>
    </sheetView>
  </sheetViews>
  <sheetFormatPr baseColWidth="10" defaultColWidth="8.7109375" defaultRowHeight="15" x14ac:dyDescent="0.25"/>
  <cols>
    <col min="1" max="1" width="16.140625" style="27" customWidth="1"/>
    <col min="2" max="2" width="18.85546875" style="27" customWidth="1"/>
    <col min="3" max="3" width="18.7109375" style="27" customWidth="1"/>
    <col min="4" max="4" width="34" style="27" customWidth="1"/>
    <col min="5" max="5" width="11.7109375" style="27" customWidth="1"/>
    <col min="6" max="6" width="13.42578125" style="27" customWidth="1"/>
    <col min="7" max="8" width="16" style="27" customWidth="1"/>
    <col min="9" max="9" width="17.28515625" style="27" customWidth="1"/>
    <col min="10" max="10" width="100.85546875" style="27" customWidth="1"/>
    <col min="11" max="16384" width="8.7109375" style="27"/>
  </cols>
  <sheetData>
    <row r="1" spans="1:10" ht="33.950000000000003" customHeight="1" thickBot="1" x14ac:dyDescent="0.3">
      <c r="A1" s="23"/>
      <c r="B1" s="24"/>
      <c r="C1" s="24"/>
      <c r="D1" s="25"/>
      <c r="E1" s="25"/>
      <c r="F1" s="25"/>
      <c r="G1" s="25"/>
      <c r="H1" s="25"/>
      <c r="I1" s="25"/>
      <c r="J1" s="26" t="s">
        <v>82</v>
      </c>
    </row>
    <row r="2" spans="1:10" ht="6" customHeight="1" x14ac:dyDescent="0.25">
      <c r="A2" s="28"/>
      <c r="B2" s="28"/>
      <c r="C2" s="28"/>
      <c r="D2" s="28"/>
      <c r="E2" s="28"/>
      <c r="F2" s="28"/>
      <c r="G2" s="28"/>
      <c r="H2" s="28"/>
      <c r="I2" s="28"/>
      <c r="J2" s="28"/>
    </row>
    <row r="3" spans="1:10" ht="47.25" customHeight="1" x14ac:dyDescent="0.25">
      <c r="A3" s="31" t="s">
        <v>1</v>
      </c>
      <c r="B3" s="31" t="s">
        <v>9</v>
      </c>
      <c r="C3" s="31" t="s">
        <v>10</v>
      </c>
      <c r="D3" s="31" t="s">
        <v>11</v>
      </c>
      <c r="E3" s="31" t="s">
        <v>12</v>
      </c>
      <c r="F3" s="31" t="s">
        <v>13</v>
      </c>
      <c r="G3" s="31" t="s">
        <v>14</v>
      </c>
      <c r="H3" s="31" t="s">
        <v>15</v>
      </c>
      <c r="I3" s="31" t="s">
        <v>16</v>
      </c>
      <c r="J3" s="31" t="s">
        <v>17</v>
      </c>
    </row>
    <row r="4" spans="1:10" ht="98.25" customHeight="1" x14ac:dyDescent="0.25">
      <c r="A4" s="14"/>
      <c r="B4" s="14"/>
      <c r="C4" s="14"/>
      <c r="D4" s="3"/>
      <c r="E4" s="2"/>
      <c r="F4" s="21"/>
      <c r="G4" s="21"/>
      <c r="H4" s="21"/>
      <c r="I4" s="21"/>
      <c r="J4" s="4"/>
    </row>
    <row r="5" spans="1:10" ht="98.25" customHeight="1" x14ac:dyDescent="0.25">
      <c r="A5" s="14"/>
      <c r="B5" s="14"/>
      <c r="C5" s="14"/>
      <c r="D5" s="3"/>
      <c r="E5" s="2"/>
      <c r="F5" s="21"/>
      <c r="G5" s="21"/>
      <c r="H5" s="21"/>
      <c r="I5" s="21"/>
      <c r="J5" s="4"/>
    </row>
    <row r="6" spans="1:10" ht="98.25" customHeight="1" x14ac:dyDescent="0.25">
      <c r="A6" s="14"/>
      <c r="B6" s="14"/>
      <c r="C6" s="14"/>
      <c r="D6" s="3"/>
      <c r="E6" s="2"/>
      <c r="F6" s="21"/>
      <c r="G6" s="21"/>
      <c r="H6" s="21"/>
      <c r="I6" s="21"/>
      <c r="J6" s="4"/>
    </row>
    <row r="7" spans="1:10" ht="98.25" customHeight="1" x14ac:dyDescent="0.25">
      <c r="A7" s="14"/>
      <c r="B7" s="14"/>
      <c r="C7" s="14"/>
      <c r="D7" s="3"/>
      <c r="E7" s="2"/>
      <c r="F7" s="21"/>
      <c r="G7" s="21"/>
      <c r="H7" s="21"/>
      <c r="I7" s="21"/>
      <c r="J7" s="4"/>
    </row>
    <row r="8" spans="1:10" ht="98.25" customHeight="1" x14ac:dyDescent="0.25">
      <c r="A8" s="14"/>
      <c r="B8" s="14"/>
      <c r="C8" s="14"/>
      <c r="D8" s="3"/>
      <c r="E8" s="2"/>
      <c r="F8" s="21"/>
      <c r="G8" s="21"/>
      <c r="H8" s="21"/>
      <c r="I8" s="21"/>
      <c r="J8" s="4"/>
    </row>
    <row r="9" spans="1:10" ht="98.25" customHeight="1" x14ac:dyDescent="0.25">
      <c r="A9" s="14"/>
      <c r="B9" s="14"/>
      <c r="C9" s="14"/>
      <c r="D9" s="3"/>
      <c r="E9" s="2"/>
      <c r="F9" s="21"/>
      <c r="G9" s="21"/>
      <c r="H9" s="21"/>
      <c r="I9" s="21"/>
      <c r="J9" s="4"/>
    </row>
    <row r="10" spans="1:10" ht="98.25" customHeight="1" x14ac:dyDescent="0.25">
      <c r="A10" s="14"/>
      <c r="B10" s="14"/>
      <c r="C10" s="14"/>
      <c r="D10" s="3"/>
      <c r="E10" s="2"/>
      <c r="F10" s="21"/>
      <c r="G10" s="21"/>
      <c r="H10" s="21"/>
      <c r="I10" s="21"/>
      <c r="J10" s="4"/>
    </row>
    <row r="11" spans="1:10" x14ac:dyDescent="0.25">
      <c r="A11" s="12"/>
      <c r="B11" s="12"/>
      <c r="C11" s="12"/>
      <c r="D11" s="15" t="s">
        <v>18</v>
      </c>
      <c r="E11" s="55">
        <f>SUM(E10:E10)</f>
        <v>0</v>
      </c>
      <c r="F11" s="55">
        <f>SUM(F10:F10)</f>
        <v>0</v>
      </c>
      <c r="G11" s="55">
        <f>SUM(G10:G10)</f>
        <v>0</v>
      </c>
      <c r="H11" s="55">
        <f>SUM(H10:H10)</f>
        <v>0</v>
      </c>
      <c r="I11" s="16"/>
      <c r="J11" s="17" t="s">
        <v>78</v>
      </c>
    </row>
    <row r="12" spans="1:10" x14ac:dyDescent="0.25">
      <c r="A12" s="12"/>
      <c r="B12" s="12"/>
      <c r="C12" s="12"/>
      <c r="D12" s="12"/>
      <c r="E12" s="12"/>
      <c r="F12" s="12"/>
      <c r="G12" s="12"/>
      <c r="H12" s="12"/>
      <c r="I12" s="12"/>
      <c r="J12" s="12"/>
    </row>
    <row r="13" spans="1:10" x14ac:dyDescent="0.25">
      <c r="A13" s="12"/>
      <c r="B13" s="12"/>
      <c r="C13" s="12"/>
      <c r="D13" s="12"/>
      <c r="E13" s="12"/>
      <c r="F13" s="12"/>
      <c r="G13" s="12"/>
      <c r="H13" s="12"/>
      <c r="I13" s="12"/>
      <c r="J13" s="12"/>
    </row>
    <row r="14" spans="1:10" x14ac:dyDescent="0.25">
      <c r="A14" s="12"/>
      <c r="B14" s="12"/>
      <c r="C14" s="12"/>
      <c r="D14" s="12"/>
      <c r="E14" s="12"/>
      <c r="F14" s="12"/>
      <c r="G14" s="12"/>
      <c r="H14" s="12"/>
      <c r="I14" s="12"/>
      <c r="J14" s="12"/>
    </row>
    <row r="15" spans="1:10" x14ac:dyDescent="0.25">
      <c r="A15" s="12"/>
      <c r="B15" s="12"/>
      <c r="C15" s="12"/>
      <c r="D15" s="12"/>
      <c r="E15" s="12"/>
      <c r="F15" s="12"/>
      <c r="G15" s="12"/>
      <c r="H15" s="12"/>
      <c r="I15" s="12"/>
      <c r="J15" s="12"/>
    </row>
    <row r="16" spans="1:10" x14ac:dyDescent="0.25">
      <c r="A16" s="12"/>
      <c r="B16" s="12"/>
      <c r="C16" s="12"/>
      <c r="D16" s="12"/>
      <c r="E16" s="12"/>
      <c r="F16" s="12"/>
      <c r="G16" s="12"/>
      <c r="H16" s="12"/>
      <c r="I16" s="12"/>
      <c r="J16" s="12"/>
    </row>
    <row r="17" spans="1:10" x14ac:dyDescent="0.25">
      <c r="A17" s="12"/>
      <c r="B17" s="12"/>
      <c r="C17" s="12"/>
      <c r="D17" s="12"/>
      <c r="E17" s="12"/>
      <c r="F17" s="12"/>
      <c r="G17" s="12"/>
      <c r="H17" s="12"/>
      <c r="I17" s="12"/>
      <c r="J17" s="12"/>
    </row>
    <row r="18" spans="1:10" x14ac:dyDescent="0.25">
      <c r="A18" s="12"/>
      <c r="B18" s="12"/>
      <c r="C18" s="12"/>
      <c r="D18" s="12"/>
      <c r="E18" s="12"/>
      <c r="F18" s="12"/>
      <c r="G18" s="12"/>
      <c r="H18" s="12"/>
      <c r="I18" s="12"/>
      <c r="J18" s="12"/>
    </row>
    <row r="19" spans="1:10" x14ac:dyDescent="0.25">
      <c r="A19" s="12"/>
      <c r="B19" s="12"/>
      <c r="C19" s="12"/>
      <c r="D19" s="12"/>
      <c r="E19" s="12"/>
      <c r="F19" s="12"/>
      <c r="G19" s="12"/>
      <c r="H19" s="12"/>
      <c r="I19" s="12"/>
      <c r="J19" s="12"/>
    </row>
    <row r="20" spans="1:10" x14ac:dyDescent="0.25">
      <c r="A20" s="12"/>
      <c r="B20" s="12"/>
      <c r="C20" s="12"/>
      <c r="D20" s="12"/>
      <c r="E20" s="12"/>
      <c r="F20" s="12"/>
      <c r="G20" s="12"/>
      <c r="H20" s="12"/>
      <c r="I20" s="12"/>
      <c r="J20" s="12"/>
    </row>
    <row r="21" spans="1:10" x14ac:dyDescent="0.25">
      <c r="A21" s="12"/>
      <c r="B21" s="12"/>
      <c r="C21" s="12"/>
      <c r="D21" s="12"/>
      <c r="E21" s="12"/>
      <c r="F21" s="12"/>
      <c r="G21" s="12"/>
      <c r="H21" s="12"/>
      <c r="I21" s="12"/>
      <c r="J21" s="12"/>
    </row>
    <row r="22" spans="1:10" x14ac:dyDescent="0.25">
      <c r="A22" s="12"/>
      <c r="B22" s="12"/>
      <c r="C22" s="12"/>
      <c r="D22" s="12"/>
      <c r="E22" s="12"/>
      <c r="F22" s="12"/>
      <c r="G22" s="12"/>
      <c r="H22" s="12"/>
      <c r="I22" s="12"/>
      <c r="J22" s="12"/>
    </row>
    <row r="23" spans="1:10" x14ac:dyDescent="0.25">
      <c r="A23" s="12"/>
      <c r="B23" s="12"/>
      <c r="C23" s="12"/>
      <c r="D23" s="12"/>
      <c r="E23" s="12"/>
      <c r="F23" s="12"/>
      <c r="G23" s="12"/>
      <c r="H23" s="12"/>
      <c r="I23" s="12"/>
      <c r="J23" s="12"/>
    </row>
    <row r="24" spans="1:10" x14ac:dyDescent="0.25">
      <c r="A24" s="12"/>
      <c r="B24" s="12"/>
      <c r="C24" s="12"/>
      <c r="D24" s="12"/>
      <c r="E24" s="12"/>
      <c r="F24" s="12"/>
      <c r="G24" s="12"/>
      <c r="H24" s="12"/>
      <c r="I24" s="12"/>
      <c r="J24" s="12"/>
    </row>
    <row r="25" spans="1:10" x14ac:dyDescent="0.25">
      <c r="A25" s="12"/>
      <c r="B25" s="12"/>
      <c r="C25" s="12"/>
      <c r="D25" s="12"/>
      <c r="E25" s="12"/>
      <c r="F25" s="12"/>
      <c r="G25" s="12"/>
      <c r="H25" s="12"/>
      <c r="I25" s="12"/>
      <c r="J25" s="12"/>
    </row>
    <row r="26" spans="1:10" x14ac:dyDescent="0.25">
      <c r="A26" s="12"/>
      <c r="B26" s="12"/>
      <c r="C26" s="12"/>
      <c r="D26" s="12"/>
      <c r="E26" s="12"/>
      <c r="F26" s="12"/>
      <c r="G26" s="12"/>
      <c r="H26" s="12"/>
      <c r="I26" s="12"/>
      <c r="J26" s="12"/>
    </row>
    <row r="27" spans="1:10" x14ac:dyDescent="0.25">
      <c r="A27" s="12"/>
      <c r="B27" s="12"/>
      <c r="C27" s="12"/>
      <c r="D27" s="12"/>
      <c r="E27" s="12"/>
      <c r="F27" s="12"/>
      <c r="G27" s="12"/>
      <c r="H27" s="12"/>
      <c r="I27" s="12"/>
      <c r="J27" s="12"/>
    </row>
    <row r="28" spans="1:10" x14ac:dyDescent="0.25">
      <c r="A28" s="12"/>
      <c r="B28" s="12"/>
      <c r="C28" s="12"/>
      <c r="D28" s="12"/>
      <c r="E28" s="12"/>
      <c r="F28" s="12"/>
      <c r="G28" s="12"/>
      <c r="H28" s="12"/>
      <c r="I28" s="12"/>
      <c r="J28" s="12"/>
    </row>
    <row r="29" spans="1:10" x14ac:dyDescent="0.25">
      <c r="A29" s="12"/>
      <c r="B29" s="12"/>
      <c r="C29" s="12"/>
      <c r="D29" s="12"/>
      <c r="E29" s="12"/>
      <c r="F29" s="12"/>
      <c r="G29" s="12"/>
      <c r="H29" s="12"/>
      <c r="I29" s="12"/>
      <c r="J29" s="12"/>
    </row>
    <row r="30" spans="1:10" x14ac:dyDescent="0.25">
      <c r="A30" s="12"/>
      <c r="B30" s="12"/>
      <c r="C30" s="12"/>
      <c r="D30" s="12"/>
      <c r="E30" s="12"/>
      <c r="F30" s="12"/>
      <c r="G30" s="12"/>
      <c r="H30" s="12"/>
      <c r="I30" s="12"/>
      <c r="J30" s="12"/>
    </row>
    <row r="31" spans="1:10" x14ac:dyDescent="0.25">
      <c r="A31" s="12"/>
      <c r="B31" s="12"/>
      <c r="C31" s="12"/>
      <c r="D31" s="12"/>
      <c r="E31" s="12"/>
      <c r="F31" s="12"/>
      <c r="G31" s="12"/>
      <c r="H31" s="12"/>
      <c r="I31" s="12"/>
      <c r="J31" s="12"/>
    </row>
    <row r="32" spans="1:10" x14ac:dyDescent="0.25">
      <c r="A32" s="12"/>
      <c r="B32" s="12"/>
      <c r="C32" s="12"/>
      <c r="D32" s="12"/>
      <c r="E32" s="12"/>
      <c r="F32" s="12"/>
      <c r="G32" s="12"/>
      <c r="H32" s="12"/>
      <c r="I32" s="12"/>
      <c r="J32" s="12"/>
    </row>
    <row r="33" spans="1:10" x14ac:dyDescent="0.25">
      <c r="A33" s="12"/>
      <c r="B33" s="12"/>
      <c r="C33" s="12"/>
      <c r="D33" s="12"/>
      <c r="E33" s="12"/>
      <c r="F33" s="12"/>
      <c r="G33" s="12"/>
      <c r="H33" s="12"/>
      <c r="I33" s="12"/>
      <c r="J33" s="12"/>
    </row>
    <row r="34" spans="1:10" x14ac:dyDescent="0.25">
      <c r="A34" s="12"/>
      <c r="B34" s="12"/>
      <c r="C34" s="12"/>
      <c r="D34" s="12"/>
      <c r="E34" s="12"/>
      <c r="F34" s="12"/>
      <c r="G34" s="12"/>
      <c r="H34" s="12"/>
      <c r="I34" s="12"/>
      <c r="J34" s="12"/>
    </row>
    <row r="35" spans="1:10" x14ac:dyDescent="0.25">
      <c r="A35" s="12"/>
      <c r="B35" s="12"/>
      <c r="C35" s="12"/>
      <c r="D35" s="12"/>
      <c r="E35" s="12"/>
      <c r="F35" s="12"/>
      <c r="G35" s="12"/>
      <c r="H35" s="12"/>
      <c r="I35" s="12"/>
      <c r="J35" s="12"/>
    </row>
    <row r="36" spans="1:10" x14ac:dyDescent="0.25">
      <c r="A36" s="12"/>
      <c r="B36" s="12"/>
      <c r="C36" s="12"/>
      <c r="D36" s="12"/>
      <c r="E36" s="12"/>
      <c r="F36" s="12"/>
      <c r="G36" s="12"/>
      <c r="H36" s="12"/>
      <c r="I36" s="12"/>
      <c r="J36" s="12"/>
    </row>
    <row r="37" spans="1:10" x14ac:dyDescent="0.25">
      <c r="A37" s="12"/>
      <c r="B37" s="12"/>
      <c r="C37" s="12"/>
      <c r="D37" s="12"/>
      <c r="E37" s="12"/>
      <c r="F37" s="12"/>
      <c r="G37" s="12"/>
      <c r="H37" s="12"/>
      <c r="I37" s="12"/>
      <c r="J37" s="12"/>
    </row>
    <row r="38" spans="1:10" x14ac:dyDescent="0.25">
      <c r="A38" s="12"/>
      <c r="B38" s="12"/>
      <c r="C38" s="12"/>
      <c r="D38" s="12"/>
      <c r="E38" s="12"/>
      <c r="F38" s="12"/>
      <c r="G38" s="12"/>
      <c r="H38" s="12"/>
      <c r="I38" s="12"/>
      <c r="J38" s="12"/>
    </row>
    <row r="39" spans="1:10" x14ac:dyDescent="0.25">
      <c r="A39" s="12"/>
      <c r="B39" s="12"/>
      <c r="C39" s="12"/>
      <c r="D39" s="12"/>
      <c r="E39" s="12"/>
      <c r="F39" s="12"/>
      <c r="G39" s="12"/>
      <c r="H39" s="12"/>
      <c r="I39" s="12"/>
      <c r="J39" s="12"/>
    </row>
    <row r="40" spans="1:10" x14ac:dyDescent="0.25">
      <c r="A40" s="12"/>
      <c r="B40" s="12"/>
      <c r="C40" s="12"/>
      <c r="D40" s="12"/>
      <c r="E40" s="12"/>
      <c r="F40" s="12"/>
      <c r="G40" s="12"/>
      <c r="H40" s="12"/>
      <c r="I40" s="12"/>
      <c r="J40" s="12"/>
    </row>
    <row r="41" spans="1:10" x14ac:dyDescent="0.25">
      <c r="A41" s="12"/>
      <c r="B41" s="12"/>
      <c r="C41" s="12"/>
      <c r="D41" s="12"/>
      <c r="E41" s="12"/>
      <c r="F41" s="12"/>
      <c r="G41" s="12"/>
      <c r="H41" s="12"/>
      <c r="I41" s="12"/>
      <c r="J41" s="12"/>
    </row>
    <row r="42" spans="1:10" x14ac:dyDescent="0.25">
      <c r="A42" s="12"/>
      <c r="B42" s="12"/>
      <c r="C42" s="12"/>
      <c r="D42" s="12"/>
      <c r="E42" s="12"/>
      <c r="F42" s="12"/>
      <c r="G42" s="12"/>
      <c r="H42" s="12"/>
      <c r="I42" s="12"/>
      <c r="J42" s="12"/>
    </row>
    <row r="43" spans="1:10" x14ac:dyDescent="0.25">
      <c r="A43" s="12"/>
      <c r="B43" s="12"/>
      <c r="C43" s="12"/>
      <c r="D43" s="12"/>
      <c r="E43" s="12"/>
      <c r="F43" s="12"/>
      <c r="G43" s="12"/>
      <c r="H43" s="12"/>
      <c r="I43" s="12"/>
      <c r="J43" s="12"/>
    </row>
    <row r="44" spans="1:10" x14ac:dyDescent="0.25">
      <c r="A44" s="12"/>
      <c r="B44" s="12"/>
      <c r="C44" s="12"/>
      <c r="D44" s="12"/>
      <c r="E44" s="12"/>
      <c r="F44" s="12"/>
      <c r="G44" s="12"/>
      <c r="H44" s="12"/>
      <c r="I44" s="12"/>
      <c r="J44" s="12"/>
    </row>
    <row r="45" spans="1:10" x14ac:dyDescent="0.25">
      <c r="A45" s="12"/>
      <c r="B45" s="12"/>
      <c r="C45" s="12"/>
      <c r="D45" s="12"/>
      <c r="E45" s="12"/>
      <c r="F45" s="12"/>
      <c r="G45" s="12"/>
      <c r="H45" s="12"/>
      <c r="I45" s="12"/>
      <c r="J45" s="12"/>
    </row>
    <row r="46" spans="1:10" x14ac:dyDescent="0.25">
      <c r="A46" s="12"/>
      <c r="B46" s="12"/>
      <c r="C46" s="12"/>
      <c r="D46" s="12"/>
      <c r="E46" s="12"/>
      <c r="F46" s="12"/>
      <c r="G46" s="12"/>
      <c r="H46" s="12"/>
      <c r="I46" s="12"/>
      <c r="J46" s="12"/>
    </row>
    <row r="47" spans="1:10" x14ac:dyDescent="0.25">
      <c r="A47" s="12"/>
      <c r="B47" s="12"/>
      <c r="C47" s="12"/>
      <c r="D47" s="12"/>
      <c r="E47" s="12"/>
      <c r="F47" s="12"/>
      <c r="G47" s="12"/>
      <c r="H47" s="12"/>
      <c r="I47" s="12"/>
      <c r="J47" s="12"/>
    </row>
    <row r="48" spans="1:10" x14ac:dyDescent="0.25">
      <c r="A48" s="12"/>
      <c r="B48" s="12"/>
      <c r="C48" s="12"/>
      <c r="D48" s="12"/>
      <c r="E48" s="12"/>
      <c r="F48" s="12"/>
      <c r="G48" s="12"/>
      <c r="H48" s="12"/>
      <c r="I48" s="12"/>
      <c r="J48" s="12"/>
    </row>
    <row r="49" spans="1:10" x14ac:dyDescent="0.25">
      <c r="A49" s="12"/>
      <c r="B49" s="12"/>
      <c r="C49" s="12"/>
      <c r="D49" s="12"/>
      <c r="E49" s="12"/>
      <c r="F49" s="12"/>
      <c r="G49" s="12"/>
      <c r="H49" s="12"/>
      <c r="I49" s="12"/>
      <c r="J49" s="12"/>
    </row>
    <row r="50" spans="1:10" x14ac:dyDescent="0.25">
      <c r="A50" s="12"/>
      <c r="B50" s="12"/>
      <c r="C50" s="12"/>
      <c r="D50" s="12"/>
      <c r="E50" s="12"/>
      <c r="F50" s="12"/>
      <c r="G50" s="12"/>
      <c r="H50" s="12"/>
      <c r="I50" s="12"/>
      <c r="J50" s="12"/>
    </row>
  </sheetData>
  <sheetProtection algorithmName="SHA-512" hashValue="XA+EWSpiRp+OSxape8kbiWmQcuOcvOfc1q+lFP9uazSUnX4xAYwmdi1SrDoK6tJJsgJhDMHqmnRhPhEhTYV8vg==" saltValue="YADJiSj+VCLqnhm+D0EZxQ==" spinCount="100000" sheet="1" formatColumns="0" formatRows="0" insertRows="0" deleteRows="0"/>
  <mergeCells count="2">
    <mergeCell ref="A1:C1"/>
    <mergeCell ref="D1:I1"/>
  </mergeCells>
  <printOptions horizontalCentered="1"/>
  <pageMargins left="0.39370078740157477" right="0.39370078740157477" top="0.4724409448818897" bottom="0.4724409448818897" header="0.15748031496062995" footer="0.23622047244094485"/>
  <pageSetup paperSize="8" scale="78" fitToHeight="0" orientation="landscape" r:id="rId1"/>
  <headerFooter>
    <oddFooter>&amp;C&amp;8Seite &amp;P von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M64"/>
  <sheetViews>
    <sheetView topLeftCell="A24" zoomScaleNormal="100" workbookViewId="0">
      <selection activeCell="C9" sqref="C9"/>
    </sheetView>
  </sheetViews>
  <sheetFormatPr baseColWidth="10" defaultColWidth="10.7109375" defaultRowHeight="15" x14ac:dyDescent="0.25"/>
  <cols>
    <col min="1" max="1" width="32.7109375" style="27" customWidth="1"/>
    <col min="2" max="2" width="40.140625" style="27" customWidth="1"/>
    <col min="3" max="3" width="14.7109375" style="27" customWidth="1"/>
    <col min="4" max="8" width="10.7109375" style="27"/>
    <col min="9" max="10" width="13.28515625" style="27" customWidth="1"/>
    <col min="11" max="11" width="24.7109375" style="27" customWidth="1"/>
    <col min="12" max="12" width="10.7109375" style="27" hidden="1" customWidth="1"/>
    <col min="13" max="13" width="26.7109375" style="27" hidden="1" customWidth="1"/>
    <col min="14" max="14" width="10.7109375" style="27"/>
    <col min="15" max="15" width="16.7109375" style="27" customWidth="1"/>
    <col min="16" max="16" width="34.7109375" style="27" customWidth="1"/>
    <col min="17" max="17" width="24.7109375" style="27" customWidth="1"/>
    <col min="18" max="16384" width="10.7109375" style="27"/>
  </cols>
  <sheetData>
    <row r="1" spans="1:13" x14ac:dyDescent="0.25">
      <c r="A1" s="46" t="s">
        <v>39</v>
      </c>
      <c r="B1" s="19">
        <v>2026</v>
      </c>
      <c r="C1" s="27" t="s">
        <v>40</v>
      </c>
      <c r="L1" s="27" t="s">
        <v>32</v>
      </c>
    </row>
    <row r="2" spans="1:13" ht="15.75" customHeight="1" x14ac:dyDescent="0.25">
      <c r="A2" s="46" t="s">
        <v>19</v>
      </c>
      <c r="B2" s="19">
        <v>3</v>
      </c>
      <c r="C2" s="27" t="s">
        <v>38</v>
      </c>
      <c r="L2" s="27">
        <v>1</v>
      </c>
      <c r="M2" s="27" t="s">
        <v>8</v>
      </c>
    </row>
    <row r="3" spans="1:13" ht="15.75" customHeight="1" x14ac:dyDescent="0.25">
      <c r="A3" s="46" t="s">
        <v>20</v>
      </c>
      <c r="B3" s="19">
        <v>38</v>
      </c>
      <c r="C3" s="27" t="s">
        <v>21</v>
      </c>
      <c r="L3" s="27">
        <v>2</v>
      </c>
      <c r="M3" s="27" t="s">
        <v>24</v>
      </c>
    </row>
    <row r="4" spans="1:13" ht="15.75" customHeight="1" x14ac:dyDescent="0.25">
      <c r="A4" s="29" t="s">
        <v>22</v>
      </c>
      <c r="B4" s="47">
        <f>COUNTIFS(D15:D52,TRUE())-COUNTIFS(E15:E52,TRUE())/2</f>
        <v>38</v>
      </c>
      <c r="C4" s="27" t="s">
        <v>23</v>
      </c>
      <c r="L4" s="27">
        <v>3</v>
      </c>
      <c r="M4" s="27" t="s">
        <v>79</v>
      </c>
    </row>
    <row r="5" spans="1:13" x14ac:dyDescent="0.25">
      <c r="A5" s="29" t="s">
        <v>48</v>
      </c>
      <c r="B5" s="48" t="s">
        <v>76</v>
      </c>
      <c r="C5" s="27" t="s">
        <v>77</v>
      </c>
      <c r="L5" s="27">
        <v>4</v>
      </c>
      <c r="M5" s="27" t="s">
        <v>29</v>
      </c>
    </row>
    <row r="6" spans="1:13" ht="21.95" customHeight="1" x14ac:dyDescent="0.25">
      <c r="A6" s="49"/>
      <c r="B6" s="8"/>
      <c r="L6" s="27">
        <v>5</v>
      </c>
      <c r="M6" s="27" t="s">
        <v>44</v>
      </c>
    </row>
    <row r="7" spans="1:13" ht="21.95" customHeight="1" x14ac:dyDescent="0.25">
      <c r="A7" s="49"/>
      <c r="B7" s="8"/>
    </row>
    <row r="8" spans="1:13" ht="21.95" customHeight="1" x14ac:dyDescent="0.25">
      <c r="A8" s="51" t="s">
        <v>62</v>
      </c>
      <c r="B8" s="19"/>
      <c r="C8" s="49"/>
      <c r="D8" s="50"/>
    </row>
    <row r="9" spans="1:13" ht="21.95" customHeight="1" x14ac:dyDescent="0.25">
      <c r="A9" s="51" t="s">
        <v>63</v>
      </c>
      <c r="B9" s="19"/>
      <c r="C9" s="49"/>
      <c r="D9" s="50"/>
      <c r="L9" s="52" t="s">
        <v>72</v>
      </c>
    </row>
    <row r="10" spans="1:13" ht="38.1" customHeight="1" x14ac:dyDescent="0.25">
      <c r="A10" s="51" t="s">
        <v>64</v>
      </c>
      <c r="B10" s="19" t="s">
        <v>66</v>
      </c>
      <c r="C10" s="49"/>
      <c r="D10" s="50"/>
      <c r="L10" s="12" t="s">
        <v>66</v>
      </c>
      <c r="M10" s="12"/>
    </row>
    <row r="11" spans="1:13" ht="21.95" customHeight="1" x14ac:dyDescent="0.25">
      <c r="A11" s="51" t="s">
        <v>65</v>
      </c>
      <c r="B11" s="19"/>
      <c r="C11" s="49"/>
      <c r="D11" s="50"/>
      <c r="L11" s="12" t="s">
        <v>67</v>
      </c>
      <c r="M11" s="12"/>
    </row>
    <row r="12" spans="1:13" ht="21.95" customHeight="1" x14ac:dyDescent="0.25">
      <c r="A12" s="50"/>
      <c r="B12" s="8"/>
      <c r="C12" s="49"/>
      <c r="D12" s="50"/>
      <c r="L12" s="12"/>
      <c r="M12" s="12"/>
    </row>
    <row r="13" spans="1:13" ht="21.95" customHeight="1" x14ac:dyDescent="0.25">
      <c r="A13" s="49"/>
      <c r="B13" s="8"/>
      <c r="L13" s="12"/>
      <c r="M13" s="12"/>
    </row>
    <row r="14" spans="1:13" ht="45.75" customHeight="1" x14ac:dyDescent="0.25">
      <c r="A14" s="46" t="s">
        <v>25</v>
      </c>
      <c r="B14" s="46" t="s">
        <v>33</v>
      </c>
      <c r="C14" s="46" t="s">
        <v>34</v>
      </c>
      <c r="D14" s="46" t="s">
        <v>46</v>
      </c>
      <c r="E14" s="46" t="s">
        <v>26</v>
      </c>
      <c r="F14" s="46" t="s">
        <v>45</v>
      </c>
      <c r="G14" s="53" t="s">
        <v>27</v>
      </c>
      <c r="H14" s="53" t="s">
        <v>28</v>
      </c>
      <c r="I14" s="46" t="s">
        <v>49</v>
      </c>
      <c r="J14" s="46" t="s">
        <v>50</v>
      </c>
      <c r="K14" s="46" t="s">
        <v>73</v>
      </c>
      <c r="L14" s="12"/>
      <c r="M14" s="12"/>
    </row>
    <row r="15" spans="1:13" x14ac:dyDescent="0.25">
      <c r="A15" s="9">
        <v>1</v>
      </c>
      <c r="B15" s="10">
        <v>46279</v>
      </c>
      <c r="C15" s="10">
        <v>46285</v>
      </c>
      <c r="D15" s="11" t="b">
        <v>1</v>
      </c>
      <c r="E15" s="11" t="b">
        <v>0</v>
      </c>
      <c r="F15" s="11" t="b">
        <v>0</v>
      </c>
      <c r="G15" s="54">
        <f>IF(D15,IF(E15,0.5,1),0)</f>
        <v>1</v>
      </c>
      <c r="H15" s="54">
        <f>B4-IF(D15,IF(E15,0.5,1),0)</f>
        <v>37</v>
      </c>
      <c r="I15" s="13">
        <v>46328</v>
      </c>
      <c r="J15" s="13">
        <v>46334</v>
      </c>
      <c r="K15" s="9" t="s">
        <v>58</v>
      </c>
      <c r="L15" s="12"/>
      <c r="M15" s="12"/>
    </row>
    <row r="16" spans="1:13" x14ac:dyDescent="0.25">
      <c r="A16" s="9">
        <v>2</v>
      </c>
      <c r="B16" s="10">
        <v>46286</v>
      </c>
      <c r="C16" s="10">
        <v>46292</v>
      </c>
      <c r="D16" s="11" t="b">
        <v>1</v>
      </c>
      <c r="E16" s="11" t="b">
        <v>0</v>
      </c>
      <c r="F16" s="11" t="b">
        <v>0</v>
      </c>
      <c r="G16" s="54">
        <f t="shared" ref="G16:G52" si="0">G15+IF(D16,IF(E16,0.5,1),0)</f>
        <v>2</v>
      </c>
      <c r="H16" s="54">
        <f t="shared" ref="H16:H52" si="1">H15-IF(D16,IF(E16,0.5,1),0)</f>
        <v>36</v>
      </c>
      <c r="I16" s="13">
        <v>46380</v>
      </c>
      <c r="J16" s="13">
        <v>46397</v>
      </c>
      <c r="K16" s="9" t="s">
        <v>59</v>
      </c>
      <c r="L16" s="12"/>
      <c r="M16" s="12"/>
    </row>
    <row r="17" spans="1:11" x14ac:dyDescent="0.25">
      <c r="A17" s="9">
        <v>3</v>
      </c>
      <c r="B17" s="10">
        <v>46293</v>
      </c>
      <c r="C17" s="10">
        <v>46299</v>
      </c>
      <c r="D17" s="11" t="b">
        <v>1</v>
      </c>
      <c r="E17" s="11" t="b">
        <v>0</v>
      </c>
      <c r="F17" s="11" t="b">
        <v>0</v>
      </c>
      <c r="G17" s="54">
        <f t="shared" si="0"/>
        <v>3</v>
      </c>
      <c r="H17" s="54">
        <f t="shared" si="1"/>
        <v>35</v>
      </c>
      <c r="I17" s="13">
        <v>46426</v>
      </c>
      <c r="J17" s="13">
        <v>46432</v>
      </c>
      <c r="K17" s="9" t="s">
        <v>80</v>
      </c>
    </row>
    <row r="18" spans="1:11" x14ac:dyDescent="0.25">
      <c r="A18" s="9">
        <v>4</v>
      </c>
      <c r="B18" s="10">
        <v>46300</v>
      </c>
      <c r="C18" s="10">
        <v>46306</v>
      </c>
      <c r="D18" s="11" t="b">
        <v>1</v>
      </c>
      <c r="E18" s="11" t="b">
        <v>0</v>
      </c>
      <c r="F18" s="11" t="b">
        <v>0</v>
      </c>
      <c r="G18" s="54">
        <f t="shared" si="0"/>
        <v>4</v>
      </c>
      <c r="H18" s="54">
        <f t="shared" si="1"/>
        <v>34</v>
      </c>
      <c r="I18" s="13">
        <v>46468</v>
      </c>
      <c r="J18" s="13">
        <v>46481</v>
      </c>
      <c r="K18" s="9" t="s">
        <v>60</v>
      </c>
    </row>
    <row r="19" spans="1:11" x14ac:dyDescent="0.25">
      <c r="A19" s="9">
        <v>5</v>
      </c>
      <c r="B19" s="10">
        <v>46307</v>
      </c>
      <c r="C19" s="10">
        <v>46313</v>
      </c>
      <c r="D19" s="11" t="b">
        <v>1</v>
      </c>
      <c r="E19" s="11" t="b">
        <v>0</v>
      </c>
      <c r="F19" s="11" t="b">
        <v>0</v>
      </c>
      <c r="G19" s="54">
        <f t="shared" si="0"/>
        <v>5</v>
      </c>
      <c r="H19" s="54">
        <f t="shared" si="1"/>
        <v>33</v>
      </c>
      <c r="I19" s="13">
        <v>46524</v>
      </c>
      <c r="J19" s="13">
        <v>46537</v>
      </c>
      <c r="K19" s="9" t="s">
        <v>61</v>
      </c>
    </row>
    <row r="20" spans="1:11" x14ac:dyDescent="0.25">
      <c r="A20" s="9">
        <v>6</v>
      </c>
      <c r="B20" s="10">
        <v>46314</v>
      </c>
      <c r="C20" s="10">
        <v>46320</v>
      </c>
      <c r="D20" s="11" t="b">
        <v>1</v>
      </c>
      <c r="E20" s="11" t="b">
        <v>0</v>
      </c>
      <c r="F20" s="11" t="b">
        <v>0</v>
      </c>
      <c r="G20" s="54">
        <f t="shared" si="0"/>
        <v>6</v>
      </c>
      <c r="H20" s="54">
        <f t="shared" si="1"/>
        <v>32</v>
      </c>
      <c r="I20" s="13"/>
      <c r="J20" s="13"/>
      <c r="K20" s="9"/>
    </row>
    <row r="21" spans="1:11" x14ac:dyDescent="0.25">
      <c r="A21" s="9">
        <v>7</v>
      </c>
      <c r="B21" s="10">
        <v>46321</v>
      </c>
      <c r="C21" s="10">
        <v>46327</v>
      </c>
      <c r="D21" s="11" t="b">
        <v>1</v>
      </c>
      <c r="E21" s="11" t="b">
        <v>0</v>
      </c>
      <c r="F21" s="11" t="b">
        <v>0</v>
      </c>
      <c r="G21" s="54">
        <f t="shared" si="0"/>
        <v>7</v>
      </c>
      <c r="H21" s="54">
        <f t="shared" si="1"/>
        <v>31</v>
      </c>
      <c r="I21" s="13"/>
      <c r="J21" s="13"/>
      <c r="K21" s="9"/>
    </row>
    <row r="22" spans="1:11" x14ac:dyDescent="0.25">
      <c r="A22" s="9">
        <v>8</v>
      </c>
      <c r="B22" s="10">
        <v>46335</v>
      </c>
      <c r="C22" s="10">
        <v>46341</v>
      </c>
      <c r="D22" s="11" t="b">
        <v>1</v>
      </c>
      <c r="E22" s="11" t="b">
        <v>0</v>
      </c>
      <c r="F22" s="11" t="b">
        <v>0</v>
      </c>
      <c r="G22" s="54">
        <f t="shared" si="0"/>
        <v>8</v>
      </c>
      <c r="H22" s="54">
        <f t="shared" si="1"/>
        <v>30</v>
      </c>
      <c r="I22" s="13"/>
      <c r="J22" s="13"/>
      <c r="K22" s="9"/>
    </row>
    <row r="23" spans="1:11" x14ac:dyDescent="0.25">
      <c r="A23" s="9">
        <v>9</v>
      </c>
      <c r="B23" s="10">
        <v>46342</v>
      </c>
      <c r="C23" s="10">
        <v>46348</v>
      </c>
      <c r="D23" s="11" t="b">
        <v>1</v>
      </c>
      <c r="E23" s="11" t="b">
        <v>0</v>
      </c>
      <c r="F23" s="11" t="b">
        <v>0</v>
      </c>
      <c r="G23" s="54">
        <f t="shared" si="0"/>
        <v>9</v>
      </c>
      <c r="H23" s="54">
        <f t="shared" si="1"/>
        <v>29</v>
      </c>
      <c r="I23" s="13"/>
      <c r="J23" s="13"/>
      <c r="K23" s="9"/>
    </row>
    <row r="24" spans="1:11" x14ac:dyDescent="0.25">
      <c r="A24" s="9">
        <v>10</v>
      </c>
      <c r="B24" s="10">
        <v>46349</v>
      </c>
      <c r="C24" s="10">
        <v>46355</v>
      </c>
      <c r="D24" s="11" t="b">
        <v>1</v>
      </c>
      <c r="E24" s="11" t="b">
        <v>0</v>
      </c>
      <c r="F24" s="11" t="b">
        <v>0</v>
      </c>
      <c r="G24" s="54">
        <f t="shared" si="0"/>
        <v>10</v>
      </c>
      <c r="H24" s="54">
        <f t="shared" si="1"/>
        <v>28</v>
      </c>
      <c r="I24" s="13"/>
      <c r="J24" s="13"/>
      <c r="K24" s="9"/>
    </row>
    <row r="25" spans="1:11" x14ac:dyDescent="0.25">
      <c r="A25" s="9">
        <v>11</v>
      </c>
      <c r="B25" s="10">
        <v>46356</v>
      </c>
      <c r="C25" s="10">
        <v>46362</v>
      </c>
      <c r="D25" s="11" t="b">
        <v>1</v>
      </c>
      <c r="E25" s="11" t="b">
        <v>0</v>
      </c>
      <c r="F25" s="11" t="b">
        <v>0</v>
      </c>
      <c r="G25" s="54">
        <f t="shared" si="0"/>
        <v>11</v>
      </c>
      <c r="H25" s="54">
        <f t="shared" si="1"/>
        <v>27</v>
      </c>
      <c r="I25" s="13"/>
      <c r="J25" s="13"/>
      <c r="K25" s="9"/>
    </row>
    <row r="26" spans="1:11" x14ac:dyDescent="0.25">
      <c r="A26" s="9">
        <v>12</v>
      </c>
      <c r="B26" s="10">
        <v>46363</v>
      </c>
      <c r="C26" s="10">
        <v>46369</v>
      </c>
      <c r="D26" s="11" t="b">
        <v>1</v>
      </c>
      <c r="E26" s="11" t="b">
        <v>0</v>
      </c>
      <c r="F26" s="11" t="b">
        <v>0</v>
      </c>
      <c r="G26" s="54">
        <f t="shared" si="0"/>
        <v>12</v>
      </c>
      <c r="H26" s="54">
        <f t="shared" si="1"/>
        <v>26</v>
      </c>
      <c r="I26" s="13"/>
      <c r="J26" s="13"/>
      <c r="K26" s="9"/>
    </row>
    <row r="27" spans="1:11" x14ac:dyDescent="0.25">
      <c r="A27" s="9">
        <v>13</v>
      </c>
      <c r="B27" s="10">
        <v>46370</v>
      </c>
      <c r="C27" s="10">
        <v>46376</v>
      </c>
      <c r="D27" s="11" t="b">
        <v>1</v>
      </c>
      <c r="E27" s="11" t="b">
        <v>0</v>
      </c>
      <c r="F27" s="11" t="b">
        <v>0</v>
      </c>
      <c r="G27" s="54">
        <f t="shared" si="0"/>
        <v>13</v>
      </c>
      <c r="H27" s="54">
        <f t="shared" si="1"/>
        <v>25</v>
      </c>
      <c r="I27" s="13"/>
      <c r="J27" s="13"/>
      <c r="K27" s="9"/>
    </row>
    <row r="28" spans="1:11" x14ac:dyDescent="0.25">
      <c r="A28" s="9">
        <v>14</v>
      </c>
      <c r="B28" s="10">
        <v>46377</v>
      </c>
      <c r="C28" s="10">
        <v>46379</v>
      </c>
      <c r="D28" s="11" t="b">
        <v>1</v>
      </c>
      <c r="E28" s="11" t="b">
        <v>0</v>
      </c>
      <c r="F28" s="11" t="b">
        <v>0</v>
      </c>
      <c r="G28" s="54">
        <f t="shared" si="0"/>
        <v>14</v>
      </c>
      <c r="H28" s="54">
        <f t="shared" si="1"/>
        <v>24</v>
      </c>
      <c r="I28" s="13"/>
      <c r="J28" s="13"/>
      <c r="K28" s="9"/>
    </row>
    <row r="29" spans="1:11" x14ac:dyDescent="0.25">
      <c r="A29" s="9">
        <v>15</v>
      </c>
      <c r="B29" s="10">
        <v>46398</v>
      </c>
      <c r="C29" s="10">
        <v>46404</v>
      </c>
      <c r="D29" s="11" t="b">
        <v>1</v>
      </c>
      <c r="E29" s="11" t="b">
        <v>0</v>
      </c>
      <c r="F29" s="11" t="b">
        <v>0</v>
      </c>
      <c r="G29" s="54">
        <f t="shared" si="0"/>
        <v>15</v>
      </c>
      <c r="H29" s="54">
        <f t="shared" si="1"/>
        <v>23</v>
      </c>
      <c r="I29" s="13"/>
      <c r="J29" s="13"/>
      <c r="K29" s="9"/>
    </row>
    <row r="30" spans="1:11" x14ac:dyDescent="0.25">
      <c r="A30" s="9">
        <v>16</v>
      </c>
      <c r="B30" s="10">
        <v>46405</v>
      </c>
      <c r="C30" s="10">
        <v>46411</v>
      </c>
      <c r="D30" s="11" t="b">
        <v>1</v>
      </c>
      <c r="E30" s="11" t="b">
        <v>0</v>
      </c>
      <c r="F30" s="11" t="b">
        <v>0</v>
      </c>
      <c r="G30" s="54">
        <f t="shared" si="0"/>
        <v>16</v>
      </c>
      <c r="H30" s="54">
        <f t="shared" si="1"/>
        <v>22</v>
      </c>
      <c r="I30" s="13"/>
      <c r="J30" s="13"/>
      <c r="K30" s="9"/>
    </row>
    <row r="31" spans="1:11" x14ac:dyDescent="0.25">
      <c r="A31" s="9">
        <v>17</v>
      </c>
      <c r="B31" s="10">
        <v>46412</v>
      </c>
      <c r="C31" s="10">
        <v>46418</v>
      </c>
      <c r="D31" s="11" t="b">
        <v>1</v>
      </c>
      <c r="E31" s="11" t="b">
        <v>0</v>
      </c>
      <c r="F31" s="11" t="b">
        <v>0</v>
      </c>
      <c r="G31" s="54">
        <f t="shared" si="0"/>
        <v>17</v>
      </c>
      <c r="H31" s="54">
        <f t="shared" si="1"/>
        <v>21</v>
      </c>
      <c r="I31" s="13"/>
      <c r="J31" s="13"/>
      <c r="K31" s="9"/>
    </row>
    <row r="32" spans="1:11" x14ac:dyDescent="0.25">
      <c r="A32" s="9">
        <v>18</v>
      </c>
      <c r="B32" s="10">
        <v>46419</v>
      </c>
      <c r="C32" s="10">
        <v>46425</v>
      </c>
      <c r="D32" s="11" t="b">
        <v>1</v>
      </c>
      <c r="E32" s="11" t="b">
        <v>0</v>
      </c>
      <c r="F32" s="11" t="b">
        <v>0</v>
      </c>
      <c r="G32" s="54">
        <f t="shared" si="0"/>
        <v>18</v>
      </c>
      <c r="H32" s="54">
        <f t="shared" si="1"/>
        <v>20</v>
      </c>
      <c r="I32" s="13"/>
      <c r="J32" s="13"/>
      <c r="K32" s="9"/>
    </row>
    <row r="33" spans="1:11" x14ac:dyDescent="0.25">
      <c r="A33" s="9">
        <v>19</v>
      </c>
      <c r="B33" s="10">
        <v>46433</v>
      </c>
      <c r="C33" s="10">
        <v>46439</v>
      </c>
      <c r="D33" s="11" t="b">
        <v>1</v>
      </c>
      <c r="E33" s="11" t="b">
        <v>0</v>
      </c>
      <c r="F33" s="11" t="b">
        <v>0</v>
      </c>
      <c r="G33" s="54">
        <f t="shared" si="0"/>
        <v>19</v>
      </c>
      <c r="H33" s="54">
        <f t="shared" si="1"/>
        <v>19</v>
      </c>
      <c r="I33" s="13"/>
      <c r="J33" s="13"/>
      <c r="K33" s="9"/>
    </row>
    <row r="34" spans="1:11" x14ac:dyDescent="0.25">
      <c r="A34" s="9">
        <v>20</v>
      </c>
      <c r="B34" s="10">
        <v>46440</v>
      </c>
      <c r="C34" s="10">
        <v>46446</v>
      </c>
      <c r="D34" s="11" t="b">
        <v>1</v>
      </c>
      <c r="E34" s="11" t="b">
        <v>0</v>
      </c>
      <c r="F34" s="11" t="b">
        <v>0</v>
      </c>
      <c r="G34" s="54">
        <f t="shared" si="0"/>
        <v>20</v>
      </c>
      <c r="H34" s="54">
        <f t="shared" si="1"/>
        <v>18</v>
      </c>
      <c r="I34" s="13"/>
      <c r="J34" s="13"/>
      <c r="K34" s="9"/>
    </row>
    <row r="35" spans="1:11" x14ac:dyDescent="0.25">
      <c r="A35" s="9">
        <v>21</v>
      </c>
      <c r="B35" s="10">
        <v>46447</v>
      </c>
      <c r="C35" s="10">
        <v>46453</v>
      </c>
      <c r="D35" s="11" t="b">
        <v>1</v>
      </c>
      <c r="E35" s="11" t="b">
        <v>0</v>
      </c>
      <c r="F35" s="11" t="b">
        <v>0</v>
      </c>
      <c r="G35" s="54">
        <f t="shared" si="0"/>
        <v>21</v>
      </c>
      <c r="H35" s="54">
        <f t="shared" si="1"/>
        <v>17</v>
      </c>
    </row>
    <row r="36" spans="1:11" x14ac:dyDescent="0.25">
      <c r="A36" s="9">
        <v>22</v>
      </c>
      <c r="B36" s="10">
        <v>46454</v>
      </c>
      <c r="C36" s="10">
        <v>46460</v>
      </c>
      <c r="D36" s="11" t="b">
        <v>1</v>
      </c>
      <c r="E36" s="11" t="b">
        <v>0</v>
      </c>
      <c r="F36" s="11" t="b">
        <v>0</v>
      </c>
      <c r="G36" s="54">
        <f t="shared" si="0"/>
        <v>22</v>
      </c>
      <c r="H36" s="54">
        <f t="shared" si="1"/>
        <v>16</v>
      </c>
    </row>
    <row r="37" spans="1:11" x14ac:dyDescent="0.25">
      <c r="A37" s="9">
        <v>23</v>
      </c>
      <c r="B37" s="10">
        <v>46461</v>
      </c>
      <c r="C37" s="10">
        <v>46467</v>
      </c>
      <c r="D37" s="11" t="b">
        <v>1</v>
      </c>
      <c r="E37" s="11" t="b">
        <v>0</v>
      </c>
      <c r="F37" s="11" t="b">
        <v>0</v>
      </c>
      <c r="G37" s="54">
        <f t="shared" si="0"/>
        <v>23</v>
      </c>
      <c r="H37" s="54">
        <f t="shared" si="1"/>
        <v>15</v>
      </c>
    </row>
    <row r="38" spans="1:11" x14ac:dyDescent="0.25">
      <c r="A38" s="9">
        <v>24</v>
      </c>
      <c r="B38" s="10">
        <v>46482</v>
      </c>
      <c r="C38" s="10">
        <v>46488</v>
      </c>
      <c r="D38" s="11" t="b">
        <v>1</v>
      </c>
      <c r="E38" s="11" t="b">
        <v>0</v>
      </c>
      <c r="F38" s="11" t="b">
        <v>0</v>
      </c>
      <c r="G38" s="54">
        <f t="shared" si="0"/>
        <v>24</v>
      </c>
      <c r="H38" s="54">
        <f t="shared" si="1"/>
        <v>14</v>
      </c>
    </row>
    <row r="39" spans="1:11" x14ac:dyDescent="0.25">
      <c r="A39" s="9">
        <v>25</v>
      </c>
      <c r="B39" s="10">
        <v>46489</v>
      </c>
      <c r="C39" s="10">
        <v>46495</v>
      </c>
      <c r="D39" s="11" t="b">
        <v>1</v>
      </c>
      <c r="E39" s="11" t="b">
        <v>0</v>
      </c>
      <c r="F39" s="11" t="b">
        <v>0</v>
      </c>
      <c r="G39" s="54">
        <f t="shared" si="0"/>
        <v>25</v>
      </c>
      <c r="H39" s="54">
        <f t="shared" si="1"/>
        <v>13</v>
      </c>
    </row>
    <row r="40" spans="1:11" x14ac:dyDescent="0.25">
      <c r="A40" s="9">
        <v>26</v>
      </c>
      <c r="B40" s="10">
        <v>46496</v>
      </c>
      <c r="C40" s="10">
        <v>46502</v>
      </c>
      <c r="D40" s="11" t="b">
        <v>1</v>
      </c>
      <c r="E40" s="11" t="b">
        <v>0</v>
      </c>
      <c r="F40" s="11" t="b">
        <v>0</v>
      </c>
      <c r="G40" s="54">
        <f t="shared" si="0"/>
        <v>26</v>
      </c>
      <c r="H40" s="54">
        <f t="shared" si="1"/>
        <v>12</v>
      </c>
    </row>
    <row r="41" spans="1:11" x14ac:dyDescent="0.25">
      <c r="A41" s="9">
        <v>27</v>
      </c>
      <c r="B41" s="10">
        <v>46503</v>
      </c>
      <c r="C41" s="10">
        <v>46509</v>
      </c>
      <c r="D41" s="11" t="b">
        <v>1</v>
      </c>
      <c r="E41" s="11" t="b">
        <v>0</v>
      </c>
      <c r="F41" s="11" t="b">
        <v>0</v>
      </c>
      <c r="G41" s="54">
        <f t="shared" si="0"/>
        <v>27</v>
      </c>
      <c r="H41" s="54">
        <f t="shared" si="1"/>
        <v>11</v>
      </c>
    </row>
    <row r="42" spans="1:11" x14ac:dyDescent="0.25">
      <c r="A42" s="9">
        <v>28</v>
      </c>
      <c r="B42" s="10">
        <v>46510</v>
      </c>
      <c r="C42" s="10">
        <v>46516</v>
      </c>
      <c r="D42" s="11" t="b">
        <v>1</v>
      </c>
      <c r="E42" s="11" t="b">
        <v>0</v>
      </c>
      <c r="F42" s="11" t="b">
        <v>0</v>
      </c>
      <c r="G42" s="54">
        <f t="shared" si="0"/>
        <v>28</v>
      </c>
      <c r="H42" s="54">
        <f t="shared" si="1"/>
        <v>10</v>
      </c>
    </row>
    <row r="43" spans="1:11" x14ac:dyDescent="0.25">
      <c r="A43" s="9">
        <v>29</v>
      </c>
      <c r="B43" s="10">
        <v>46517</v>
      </c>
      <c r="C43" s="10">
        <v>46523</v>
      </c>
      <c r="D43" s="11" t="b">
        <v>1</v>
      </c>
      <c r="E43" s="11" t="b">
        <v>0</v>
      </c>
      <c r="F43" s="11" t="b">
        <v>0</v>
      </c>
      <c r="G43" s="54">
        <f t="shared" si="0"/>
        <v>29</v>
      </c>
      <c r="H43" s="54">
        <f t="shared" si="1"/>
        <v>9</v>
      </c>
    </row>
    <row r="44" spans="1:11" x14ac:dyDescent="0.25">
      <c r="A44" s="9">
        <v>30</v>
      </c>
      <c r="B44" s="10">
        <v>46538</v>
      </c>
      <c r="C44" s="10">
        <v>46544</v>
      </c>
      <c r="D44" s="11" t="b">
        <v>1</v>
      </c>
      <c r="E44" s="11" t="b">
        <v>0</v>
      </c>
      <c r="F44" s="11" t="b">
        <v>0</v>
      </c>
      <c r="G44" s="54">
        <f t="shared" si="0"/>
        <v>30</v>
      </c>
      <c r="H44" s="54">
        <f t="shared" si="1"/>
        <v>8</v>
      </c>
    </row>
    <row r="45" spans="1:11" x14ac:dyDescent="0.25">
      <c r="A45" s="9">
        <v>31</v>
      </c>
      <c r="B45" s="10">
        <v>46545</v>
      </c>
      <c r="C45" s="10">
        <v>46551</v>
      </c>
      <c r="D45" s="11" t="b">
        <v>1</v>
      </c>
      <c r="E45" s="11" t="b">
        <v>0</v>
      </c>
      <c r="F45" s="11" t="b">
        <v>0</v>
      </c>
      <c r="G45" s="54">
        <f t="shared" si="0"/>
        <v>31</v>
      </c>
      <c r="H45" s="54">
        <f t="shared" si="1"/>
        <v>7</v>
      </c>
    </row>
    <row r="46" spans="1:11" x14ac:dyDescent="0.25">
      <c r="A46" s="9">
        <v>32</v>
      </c>
      <c r="B46" s="10">
        <v>46552</v>
      </c>
      <c r="C46" s="10">
        <v>46558</v>
      </c>
      <c r="D46" s="11" t="b">
        <v>1</v>
      </c>
      <c r="E46" s="11" t="b">
        <v>0</v>
      </c>
      <c r="F46" s="11" t="b">
        <v>0</v>
      </c>
      <c r="G46" s="54">
        <f t="shared" si="0"/>
        <v>32</v>
      </c>
      <c r="H46" s="54">
        <f t="shared" si="1"/>
        <v>6</v>
      </c>
    </row>
    <row r="47" spans="1:11" x14ac:dyDescent="0.25">
      <c r="A47" s="9">
        <v>33</v>
      </c>
      <c r="B47" s="10">
        <v>46559</v>
      </c>
      <c r="C47" s="10">
        <v>46565</v>
      </c>
      <c r="D47" s="11" t="b">
        <v>1</v>
      </c>
      <c r="E47" s="11" t="b">
        <v>0</v>
      </c>
      <c r="F47" s="11" t="b">
        <v>0</v>
      </c>
      <c r="G47" s="54">
        <f t="shared" si="0"/>
        <v>33</v>
      </c>
      <c r="H47" s="54">
        <f t="shared" si="1"/>
        <v>5</v>
      </c>
    </row>
    <row r="48" spans="1:11" x14ac:dyDescent="0.25">
      <c r="A48" s="9">
        <v>34</v>
      </c>
      <c r="B48" s="10">
        <v>46566</v>
      </c>
      <c r="C48" s="10">
        <v>46572</v>
      </c>
      <c r="D48" s="11" t="b">
        <v>1</v>
      </c>
      <c r="E48" s="11" t="b">
        <v>0</v>
      </c>
      <c r="F48" s="11" t="b">
        <v>0</v>
      </c>
      <c r="G48" s="54">
        <f t="shared" si="0"/>
        <v>34</v>
      </c>
      <c r="H48" s="54">
        <f t="shared" si="1"/>
        <v>4</v>
      </c>
    </row>
    <row r="49" spans="1:8" x14ac:dyDescent="0.25">
      <c r="A49" s="9">
        <v>35</v>
      </c>
      <c r="B49" s="10">
        <v>46573</v>
      </c>
      <c r="C49" s="10">
        <v>46579</v>
      </c>
      <c r="D49" s="11" t="b">
        <v>1</v>
      </c>
      <c r="E49" s="11" t="b">
        <v>0</v>
      </c>
      <c r="F49" s="11" t="b">
        <v>0</v>
      </c>
      <c r="G49" s="54">
        <f t="shared" si="0"/>
        <v>35</v>
      </c>
      <c r="H49" s="54">
        <f t="shared" si="1"/>
        <v>3</v>
      </c>
    </row>
    <row r="50" spans="1:8" x14ac:dyDescent="0.25">
      <c r="A50" s="9">
        <v>36</v>
      </c>
      <c r="B50" s="10">
        <v>46580</v>
      </c>
      <c r="C50" s="10">
        <v>46586</v>
      </c>
      <c r="D50" s="11" t="b">
        <v>1</v>
      </c>
      <c r="E50" s="11" t="b">
        <v>0</v>
      </c>
      <c r="F50" s="11" t="b">
        <v>0</v>
      </c>
      <c r="G50" s="54">
        <f t="shared" si="0"/>
        <v>36</v>
      </c>
      <c r="H50" s="54">
        <f t="shared" si="1"/>
        <v>2</v>
      </c>
    </row>
    <row r="51" spans="1:8" x14ac:dyDescent="0.25">
      <c r="A51" s="9">
        <v>37</v>
      </c>
      <c r="B51" s="10">
        <v>46587</v>
      </c>
      <c r="C51" s="10">
        <v>46593</v>
      </c>
      <c r="D51" s="11" t="b">
        <v>1</v>
      </c>
      <c r="E51" s="11" t="b">
        <v>0</v>
      </c>
      <c r="F51" s="11" t="b">
        <v>0</v>
      </c>
      <c r="G51" s="54">
        <f t="shared" si="0"/>
        <v>37</v>
      </c>
      <c r="H51" s="54">
        <f t="shared" si="1"/>
        <v>1</v>
      </c>
    </row>
    <row r="52" spans="1:8" x14ac:dyDescent="0.25">
      <c r="A52" s="9">
        <v>38</v>
      </c>
      <c r="B52" s="10">
        <v>46594</v>
      </c>
      <c r="C52" s="10">
        <v>46600</v>
      </c>
      <c r="D52" s="11" t="b">
        <v>1</v>
      </c>
      <c r="E52" s="11" t="b">
        <v>0</v>
      </c>
      <c r="F52" s="11" t="b">
        <v>0</v>
      </c>
      <c r="G52" s="54">
        <f t="shared" si="0"/>
        <v>38</v>
      </c>
      <c r="H52" s="54">
        <f t="shared" si="1"/>
        <v>0</v>
      </c>
    </row>
    <row r="53" spans="1:8" x14ac:dyDescent="0.25">
      <c r="A53" s="9"/>
      <c r="B53" s="9"/>
      <c r="C53" s="9"/>
      <c r="D53" s="9"/>
      <c r="E53" s="9"/>
      <c r="F53" s="9"/>
      <c r="G53" s="18"/>
      <c r="H53" s="18"/>
    </row>
    <row r="54" spans="1:8" x14ac:dyDescent="0.25">
      <c r="A54" s="9"/>
      <c r="B54" s="9"/>
      <c r="C54" s="9"/>
      <c r="D54" s="9"/>
      <c r="E54" s="9"/>
      <c r="F54" s="9"/>
      <c r="G54" s="18"/>
      <c r="H54" s="18"/>
    </row>
    <row r="55" spans="1:8" x14ac:dyDescent="0.25">
      <c r="A55" s="9"/>
      <c r="B55" s="9"/>
      <c r="C55" s="9"/>
      <c r="D55" s="9"/>
      <c r="E55" s="9"/>
      <c r="F55" s="9"/>
      <c r="G55" s="18"/>
      <c r="H55" s="18"/>
    </row>
    <row r="56" spans="1:8" x14ac:dyDescent="0.25">
      <c r="A56" s="9"/>
      <c r="B56" s="9"/>
      <c r="C56" s="9"/>
      <c r="D56" s="9"/>
      <c r="E56" s="9"/>
      <c r="F56" s="9"/>
      <c r="G56" s="18"/>
      <c r="H56" s="18"/>
    </row>
    <row r="57" spans="1:8" x14ac:dyDescent="0.25">
      <c r="A57" s="12"/>
      <c r="B57" s="12"/>
      <c r="C57" s="12"/>
      <c r="D57" s="12"/>
      <c r="E57" s="12"/>
      <c r="F57" s="12"/>
      <c r="G57" s="12"/>
      <c r="H57" s="12"/>
    </row>
    <row r="58" spans="1:8" x14ac:dyDescent="0.25">
      <c r="A58" s="12"/>
      <c r="B58" s="12"/>
      <c r="C58" s="12"/>
      <c r="D58" s="12"/>
      <c r="E58" s="12"/>
      <c r="F58" s="12"/>
      <c r="G58" s="12"/>
      <c r="H58" s="12"/>
    </row>
    <row r="59" spans="1:8" x14ac:dyDescent="0.25">
      <c r="A59" s="12"/>
      <c r="B59" s="12"/>
      <c r="C59" s="12"/>
      <c r="D59" s="12"/>
      <c r="E59" s="12"/>
      <c r="F59" s="12"/>
      <c r="G59" s="12"/>
      <c r="H59" s="12"/>
    </row>
    <row r="60" spans="1:8" x14ac:dyDescent="0.25">
      <c r="A60" s="12"/>
      <c r="B60" s="12"/>
      <c r="C60" s="12"/>
      <c r="D60" s="12"/>
      <c r="E60" s="12"/>
      <c r="F60" s="12"/>
      <c r="G60" s="12"/>
      <c r="H60" s="12"/>
    </row>
    <row r="61" spans="1:8" x14ac:dyDescent="0.25">
      <c r="A61" s="12"/>
      <c r="B61" s="12"/>
      <c r="C61" s="12"/>
      <c r="D61" s="12"/>
      <c r="E61" s="12"/>
      <c r="F61" s="12"/>
      <c r="G61" s="12"/>
      <c r="H61" s="12"/>
    </row>
    <row r="62" spans="1:8" x14ac:dyDescent="0.25">
      <c r="A62" s="12"/>
      <c r="B62" s="12"/>
      <c r="C62" s="12"/>
      <c r="D62" s="12"/>
      <c r="E62" s="12"/>
      <c r="F62" s="12"/>
      <c r="G62" s="12"/>
      <c r="H62" s="12"/>
    </row>
    <row r="63" spans="1:8" x14ac:dyDescent="0.25">
      <c r="A63" s="12"/>
      <c r="B63" s="12"/>
      <c r="C63" s="12"/>
      <c r="D63" s="12"/>
      <c r="E63" s="12"/>
      <c r="F63" s="12"/>
      <c r="G63" s="12"/>
      <c r="H63" s="12"/>
    </row>
    <row r="64" spans="1:8" x14ac:dyDescent="0.25">
      <c r="A64" s="12"/>
      <c r="B64" s="12"/>
      <c r="C64" s="12"/>
      <c r="D64" s="12"/>
      <c r="E64" s="12"/>
      <c r="F64" s="12"/>
      <c r="G64" s="12"/>
      <c r="H64" s="12"/>
    </row>
  </sheetData>
  <sheetProtection algorithmName="SHA-512" hashValue="LdBmzSjMZHAdeAoj5gs41fvog1apNRYmY8vZslQ1bXlpO+6pTgLXZRqqavu4qaKBCcQM1MxpN3m4M67quJeF+g==" saltValue="i2y1OU8wipAoMLIN/qS4rg==" spinCount="100000" sheet="1" formatColumns="0" formatRows="0" insertRows="0" deleteRows="0"/>
  <dataValidations count="3">
    <dataValidation type="list" allowBlank="1" showInputMessage="1" showErrorMessage="1" errorTitle="Unbekannte Schule" error="Bitte eine Schule aus der Liste wählen." sqref="P4" xr:uid="{7F3A0602-E082-42DA-9092-E87FF76A5FFE}">
      <formula1>$L$10:$L$11</formula1>
    </dataValidation>
    <dataValidation type="list" showInputMessage="1" showErrorMessage="1" sqref="B5" xr:uid="{74918504-21E1-4A75-8E56-05A52322980D}">
      <formula1>"ja,nein"</formula1>
    </dataValidation>
    <dataValidation type="list" allowBlank="1" showInputMessage="1" showErrorMessage="1" errorTitle="Unbekannte Schule" error="Bitte eine Schule aus der Liste wählen." sqref="B10" xr:uid="{BD3E76E7-86A0-41FC-812A-98F11C760A79}">
      <formula1>$L$10:$L$11</formula1>
    </dataValidation>
  </dataValidations>
  <pageMargins left="0.7" right="0.7" top="0.78749999999999998" bottom="0.78749999999999998" header="0.511811023622047" footer="0.511811023622047"/>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DA654-66BE-4E69-99A8-299B6D64C102}">
  <sheetPr codeName="Tabelle5"/>
  <dimension ref="B1:B104"/>
  <sheetViews>
    <sheetView showGridLines="0" topLeftCell="A33" workbookViewId="0">
      <selection activeCell="B2" sqref="B2"/>
    </sheetView>
  </sheetViews>
  <sheetFormatPr baseColWidth="10" defaultRowHeight="15" x14ac:dyDescent="0.25"/>
  <cols>
    <col min="1" max="1" width="3.7109375" style="27" customWidth="1"/>
    <col min="2" max="2" width="118.7109375" style="27" customWidth="1"/>
    <col min="3" max="16384" width="11.42578125" style="27"/>
  </cols>
  <sheetData>
    <row r="1" spans="2:2" ht="9.9499999999999993" customHeight="1" x14ac:dyDescent="0.25"/>
    <row r="2" spans="2:2" ht="32.1" customHeight="1" x14ac:dyDescent="0.45">
      <c r="B2" s="66" t="s">
        <v>51</v>
      </c>
    </row>
    <row r="3" spans="2:2" ht="45" x14ac:dyDescent="0.25">
      <c r="B3" s="67" t="s">
        <v>92</v>
      </c>
    </row>
    <row r="4" spans="2:2" x14ac:dyDescent="0.25">
      <c r="B4" s="68" t="s">
        <v>93</v>
      </c>
    </row>
    <row r="5" spans="2:2" ht="9" customHeight="1" x14ac:dyDescent="0.25"/>
    <row r="6" spans="2:2" ht="26.1" customHeight="1" x14ac:dyDescent="0.25">
      <c r="B6" s="69" t="s">
        <v>94</v>
      </c>
    </row>
    <row r="7" spans="2:2" x14ac:dyDescent="0.25">
      <c r="B7" s="67" t="s">
        <v>95</v>
      </c>
    </row>
    <row r="8" spans="2:2" x14ac:dyDescent="0.25">
      <c r="B8" s="70" t="s">
        <v>96</v>
      </c>
    </row>
    <row r="9" spans="2:2" ht="45" x14ac:dyDescent="0.25">
      <c r="B9" s="70" t="s">
        <v>97</v>
      </c>
    </row>
    <row r="10" spans="2:2" ht="45" x14ac:dyDescent="0.25">
      <c r="B10" s="70" t="s">
        <v>98</v>
      </c>
    </row>
    <row r="11" spans="2:2" ht="45" x14ac:dyDescent="0.25">
      <c r="B11" s="70" t="s">
        <v>99</v>
      </c>
    </row>
    <row r="12" spans="2:2" ht="28.5" x14ac:dyDescent="0.25">
      <c r="B12" s="68" t="s">
        <v>100</v>
      </c>
    </row>
    <row r="13" spans="2:2" x14ac:dyDescent="0.25">
      <c r="B13" s="68" t="s">
        <v>101</v>
      </c>
    </row>
    <row r="14" spans="2:2" ht="9" customHeight="1" x14ac:dyDescent="0.25"/>
    <row r="15" spans="2:2" ht="26.1" customHeight="1" x14ac:dyDescent="0.25">
      <c r="B15" s="69" t="s">
        <v>102</v>
      </c>
    </row>
    <row r="16" spans="2:2" x14ac:dyDescent="0.25">
      <c r="B16" s="67" t="s">
        <v>103</v>
      </c>
    </row>
    <row r="17" spans="2:2" ht="30" x14ac:dyDescent="0.25">
      <c r="B17" s="70" t="s">
        <v>104</v>
      </c>
    </row>
    <row r="18" spans="2:2" ht="30" x14ac:dyDescent="0.25">
      <c r="B18" s="70" t="s">
        <v>105</v>
      </c>
    </row>
    <row r="19" spans="2:2" ht="30" x14ac:dyDescent="0.25">
      <c r="B19" s="70" t="s">
        <v>106</v>
      </c>
    </row>
    <row r="20" spans="2:2" ht="28.5" x14ac:dyDescent="0.25">
      <c r="B20" s="68" t="s">
        <v>107</v>
      </c>
    </row>
    <row r="21" spans="2:2" ht="9" customHeight="1" x14ac:dyDescent="0.25"/>
    <row r="22" spans="2:2" ht="26.1" customHeight="1" x14ac:dyDescent="0.25">
      <c r="B22" s="69" t="s">
        <v>108</v>
      </c>
    </row>
    <row r="23" spans="2:2" x14ac:dyDescent="0.25">
      <c r="B23" s="67" t="s">
        <v>109</v>
      </c>
    </row>
    <row r="24" spans="2:2" ht="30" x14ac:dyDescent="0.25">
      <c r="B24" s="70" t="s">
        <v>110</v>
      </c>
    </row>
    <row r="25" spans="2:2" ht="28.5" x14ac:dyDescent="0.25">
      <c r="B25" s="68" t="s">
        <v>111</v>
      </c>
    </row>
    <row r="26" spans="2:2" ht="30" x14ac:dyDescent="0.25">
      <c r="B26" s="70" t="s">
        <v>112</v>
      </c>
    </row>
    <row r="27" spans="2:2" ht="30" x14ac:dyDescent="0.25">
      <c r="B27" s="70" t="s">
        <v>113</v>
      </c>
    </row>
    <row r="28" spans="2:2" ht="30" x14ac:dyDescent="0.25">
      <c r="B28" s="70" t="s">
        <v>114</v>
      </c>
    </row>
    <row r="29" spans="2:2" x14ac:dyDescent="0.25">
      <c r="B29" s="68" t="s">
        <v>115</v>
      </c>
    </row>
    <row r="30" spans="2:2" ht="9" customHeight="1" x14ac:dyDescent="0.25"/>
    <row r="31" spans="2:2" ht="26.1" customHeight="1" x14ac:dyDescent="0.25">
      <c r="B31" s="69" t="s">
        <v>116</v>
      </c>
    </row>
    <row r="32" spans="2:2" ht="30" x14ac:dyDescent="0.25">
      <c r="B32" s="67" t="s">
        <v>57</v>
      </c>
    </row>
    <row r="33" spans="2:2" ht="60" x14ac:dyDescent="0.25">
      <c r="B33" s="67" t="s">
        <v>117</v>
      </c>
    </row>
    <row r="34" spans="2:2" x14ac:dyDescent="0.25">
      <c r="B34" s="71" t="s">
        <v>118</v>
      </c>
    </row>
    <row r="35" spans="2:2" ht="9" customHeight="1" x14ac:dyDescent="0.25"/>
    <row r="36" spans="2:2" ht="26.1" customHeight="1" x14ac:dyDescent="0.25">
      <c r="B36" s="69" t="s">
        <v>119</v>
      </c>
    </row>
    <row r="37" spans="2:2" ht="30" x14ac:dyDescent="0.25">
      <c r="B37" s="70" t="s">
        <v>120</v>
      </c>
    </row>
    <row r="38" spans="2:2" x14ac:dyDescent="0.25">
      <c r="B38" s="70" t="s">
        <v>121</v>
      </c>
    </row>
    <row r="39" spans="2:2" ht="30" x14ac:dyDescent="0.25">
      <c r="B39" s="70" t="s">
        <v>122</v>
      </c>
    </row>
    <row r="40" spans="2:2" ht="30" x14ac:dyDescent="0.25">
      <c r="B40" s="70" t="s">
        <v>123</v>
      </c>
    </row>
    <row r="41" spans="2:2" x14ac:dyDescent="0.25">
      <c r="B41" s="68" t="s">
        <v>124</v>
      </c>
    </row>
    <row r="42" spans="2:2" ht="9" customHeight="1" x14ac:dyDescent="0.25"/>
    <row r="43" spans="2:2" ht="26.1" customHeight="1" x14ac:dyDescent="0.25">
      <c r="B43" s="69" t="s">
        <v>125</v>
      </c>
    </row>
    <row r="44" spans="2:2" x14ac:dyDescent="0.25">
      <c r="B44" s="70" t="s">
        <v>126</v>
      </c>
    </row>
    <row r="45" spans="2:2" x14ac:dyDescent="0.25">
      <c r="B45" s="70" t="s">
        <v>127</v>
      </c>
    </row>
    <row r="46" spans="2:2" ht="30" x14ac:dyDescent="0.25">
      <c r="B46" s="70" t="s">
        <v>128</v>
      </c>
    </row>
    <row r="47" spans="2:2" ht="9" customHeight="1" x14ac:dyDescent="0.25"/>
    <row r="48" spans="2:2" ht="26.1" customHeight="1" x14ac:dyDescent="0.25">
      <c r="B48" s="69" t="s">
        <v>129</v>
      </c>
    </row>
    <row r="49" spans="2:2" ht="21.95" customHeight="1" x14ac:dyDescent="0.25">
      <c r="B49" s="72" t="s">
        <v>130</v>
      </c>
    </row>
    <row r="50" spans="2:2" x14ac:dyDescent="0.25">
      <c r="B50" s="70" t="s">
        <v>131</v>
      </c>
    </row>
    <row r="51" spans="2:2" x14ac:dyDescent="0.25">
      <c r="B51" s="70" t="s">
        <v>132</v>
      </c>
    </row>
    <row r="52" spans="2:2" x14ac:dyDescent="0.25">
      <c r="B52" s="70" t="s">
        <v>52</v>
      </c>
    </row>
    <row r="53" spans="2:2" x14ac:dyDescent="0.25">
      <c r="B53" s="70" t="s">
        <v>53</v>
      </c>
    </row>
    <row r="54" spans="2:2" x14ac:dyDescent="0.25">
      <c r="B54" s="70" t="s">
        <v>54</v>
      </c>
    </row>
    <row r="55" spans="2:2" x14ac:dyDescent="0.25">
      <c r="B55" s="70" t="s">
        <v>133</v>
      </c>
    </row>
    <row r="56" spans="2:2" x14ac:dyDescent="0.25">
      <c r="B56" s="70" t="s">
        <v>134</v>
      </c>
    </row>
    <row r="57" spans="2:2" ht="30" x14ac:dyDescent="0.25">
      <c r="B57" s="70" t="s">
        <v>135</v>
      </c>
    </row>
    <row r="58" spans="2:2" x14ac:dyDescent="0.25">
      <c r="B58" s="70" t="s">
        <v>55</v>
      </c>
    </row>
    <row r="59" spans="2:2" x14ac:dyDescent="0.25">
      <c r="B59" s="70" t="s">
        <v>56</v>
      </c>
    </row>
    <row r="60" spans="2:2" ht="45" x14ac:dyDescent="0.25">
      <c r="B60" s="70" t="s">
        <v>136</v>
      </c>
    </row>
    <row r="61" spans="2:2" ht="21.95" customHeight="1" x14ac:dyDescent="0.25">
      <c r="B61" s="72" t="s">
        <v>137</v>
      </c>
    </row>
    <row r="62" spans="2:2" ht="30" x14ac:dyDescent="0.25">
      <c r="B62" s="70" t="s">
        <v>138</v>
      </c>
    </row>
    <row r="63" spans="2:2" ht="45" x14ac:dyDescent="0.25">
      <c r="B63" s="70" t="s">
        <v>139</v>
      </c>
    </row>
    <row r="64" spans="2:2" ht="30" x14ac:dyDescent="0.25">
      <c r="B64" s="70" t="s">
        <v>140</v>
      </c>
    </row>
    <row r="65" spans="2:2" x14ac:dyDescent="0.25">
      <c r="B65" s="70" t="s">
        <v>141</v>
      </c>
    </row>
    <row r="66" spans="2:2" x14ac:dyDescent="0.25">
      <c r="B66" s="70" t="s">
        <v>142</v>
      </c>
    </row>
    <row r="67" spans="2:2" ht="21.95" customHeight="1" x14ac:dyDescent="0.25">
      <c r="B67" s="72" t="s">
        <v>143</v>
      </c>
    </row>
    <row r="68" spans="2:2" ht="30" x14ac:dyDescent="0.25">
      <c r="B68" s="70" t="s">
        <v>144</v>
      </c>
    </row>
    <row r="69" spans="2:2" ht="30" x14ac:dyDescent="0.25">
      <c r="B69" s="70" t="s">
        <v>145</v>
      </c>
    </row>
    <row r="70" spans="2:2" ht="30" x14ac:dyDescent="0.25">
      <c r="B70" s="70" t="s">
        <v>146</v>
      </c>
    </row>
    <row r="71" spans="2:2" x14ac:dyDescent="0.25">
      <c r="B71" s="67" t="s">
        <v>147</v>
      </c>
    </row>
    <row r="72" spans="2:2" ht="30" x14ac:dyDescent="0.25">
      <c r="B72" s="70" t="s">
        <v>148</v>
      </c>
    </row>
    <row r="73" spans="2:2" ht="30" x14ac:dyDescent="0.25">
      <c r="B73" s="70" t="s">
        <v>149</v>
      </c>
    </row>
    <row r="74" spans="2:2" ht="30" x14ac:dyDescent="0.25">
      <c r="B74" s="70" t="s">
        <v>150</v>
      </c>
    </row>
    <row r="75" spans="2:2" ht="28.5" x14ac:dyDescent="0.25">
      <c r="B75" s="68" t="s">
        <v>151</v>
      </c>
    </row>
    <row r="76" spans="2:2" ht="28.5" x14ac:dyDescent="0.25">
      <c r="B76" s="68" t="s">
        <v>152</v>
      </c>
    </row>
    <row r="77" spans="2:2" x14ac:dyDescent="0.25">
      <c r="B77" s="68" t="s">
        <v>153</v>
      </c>
    </row>
    <row r="78" spans="2:2" ht="9" customHeight="1" x14ac:dyDescent="0.25"/>
    <row r="79" spans="2:2" ht="21.95" customHeight="1" x14ac:dyDescent="0.25">
      <c r="B79" s="72" t="s">
        <v>154</v>
      </c>
    </row>
    <row r="80" spans="2:2" ht="30" x14ac:dyDescent="0.25">
      <c r="B80" s="70" t="s">
        <v>155</v>
      </c>
    </row>
    <row r="81" spans="2:2" x14ac:dyDescent="0.25">
      <c r="B81" s="70" t="s">
        <v>156</v>
      </c>
    </row>
    <row r="82" spans="2:2" ht="30" x14ac:dyDescent="0.25">
      <c r="B82" s="70" t="s">
        <v>157</v>
      </c>
    </row>
    <row r="83" spans="2:2" x14ac:dyDescent="0.25">
      <c r="B83" s="70" t="s">
        <v>158</v>
      </c>
    </row>
    <row r="84" spans="2:2" ht="9" customHeight="1" x14ac:dyDescent="0.25"/>
    <row r="86" spans="2:2" ht="8.1" customHeight="1" x14ac:dyDescent="0.25"/>
    <row r="87" spans="2:2" ht="24" customHeight="1" x14ac:dyDescent="0.25"/>
    <row r="96" spans="2:2" ht="8.1" customHeight="1" x14ac:dyDescent="0.25"/>
    <row r="97" s="27" customFormat="1" ht="24" customHeight="1" x14ac:dyDescent="0.25"/>
    <row r="104" s="27" customFormat="1" ht="8.1" customHeight="1" x14ac:dyDescent="0.25"/>
  </sheetData>
  <sheetProtection algorithmName="SHA-512" hashValue="wY+G4IMao5DjNZ38b+5nUZiwzNU2PNNMRY9AIwmiIqradzM6oOu4CfZiDMJTCmVFcnJ989p7JvA43bz69hkLHw==" saltValue="l7VvruGO7Yg3CwDYw+cPjA==" spinCount="100000" sheet="1" formatColumns="0" formatRows="0"/>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8</vt:i4>
      </vt:variant>
    </vt:vector>
  </HeadingPairs>
  <TitlesOfParts>
    <vt:vector size="13" baseType="lpstr">
      <vt:lpstr>Steuerung</vt:lpstr>
      <vt:lpstr>Wochenplan</vt:lpstr>
      <vt:lpstr>Lernbereiche</vt:lpstr>
      <vt:lpstr>Einstellungen</vt:lpstr>
      <vt:lpstr>Anleitung</vt:lpstr>
      <vt:lpstr>Lernbereiche!Druckbereich</vt:lpstr>
      <vt:lpstr>Wochenplan!Druckbereich</vt:lpstr>
      <vt:lpstr>Lernbereiche!Drucktitel</vt:lpstr>
      <vt:lpstr>Wochenplan!Drucktitel</vt:lpstr>
      <vt:lpstr>wpHalbeKlasse</vt:lpstr>
      <vt:lpstr>wpHalbeWoche</vt:lpstr>
      <vt:lpstr>wpPdfFormat</vt:lpstr>
      <vt:lpstr>wpStundenListe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Max Mustermann</cp:lastModifiedBy>
  <cp:revision>0</cp:revision>
  <cp:lastPrinted>2026-09-03T19:03:05Z</cp:lastPrinted>
  <dcterms:created xsi:type="dcterms:W3CDTF">2026-08-29T09:09:39Z</dcterms:created>
  <dcterms:modified xsi:type="dcterms:W3CDTF">2026-09-05T14:32:19Z</dcterms:modified>
  <dc:language>en-US</dc:language>
</cp:coreProperties>
</file>